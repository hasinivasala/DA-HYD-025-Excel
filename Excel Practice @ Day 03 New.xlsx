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01\Downloads\"/>
    </mc:Choice>
  </mc:AlternateContent>
  <xr:revisionPtr revIDLastSave="0" documentId="13_ncr:1_{6C6BBDBC-5A37-43BF-A0CB-367112BC4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</definedNames>
  <calcPr calcId="191029"/>
</workbook>
</file>

<file path=xl/calcChain.xml><?xml version="1.0" encoding="utf-8"?>
<calcChain xmlns="http://schemas.openxmlformats.org/spreadsheetml/2006/main">
  <c r="H67" i="1" l="1"/>
  <c r="I66" i="1"/>
  <c r="I49" i="1"/>
  <c r="I47" i="1"/>
  <c r="I46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40" i="1"/>
  <c r="U41" i="1"/>
  <c r="U28" i="1"/>
  <c r="U29" i="1"/>
  <c r="U30" i="1"/>
  <c r="U31" i="1"/>
  <c r="U32" i="1"/>
  <c r="U33" i="1"/>
  <c r="U34" i="1"/>
  <c r="U35" i="1"/>
  <c r="U36" i="1"/>
  <c r="U37" i="1"/>
  <c r="U38" i="1"/>
  <c r="U3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2" i="1"/>
  <c r="N33" i="1"/>
  <c r="N34" i="1"/>
  <c r="N35" i="1"/>
  <c r="N36" i="1"/>
  <c r="N37" i="1"/>
  <c r="N38" i="1"/>
  <c r="N39" i="1"/>
  <c r="N40" i="1"/>
  <c r="N4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</calcChain>
</file>

<file path=xl/sharedStrings.xml><?xml version="1.0" encoding="utf-8"?>
<sst xmlns="http://schemas.openxmlformats.org/spreadsheetml/2006/main" count="483" uniqueCount="237">
  <si>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</si>
  <si>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</si>
  <si>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</si>
  <si>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</si>
  <si>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</si>
  <si>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</si>
  <si>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</si>
  <si>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</si>
  <si>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</si>
  <si>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</si>
  <si>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</si>
  <si>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</si>
  <si>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</si>
  <si>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</si>
  <si>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</si>
  <si>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</si>
  <si>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</si>
  <si>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</si>
  <si>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</si>
  <si>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</si>
  <si>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</si>
  <si>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</si>
  <si>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</si>
  <si>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</si>
  <si>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</si>
  <si>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</si>
  <si>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</si>
  <si>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</si>
  <si>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</si>
  <si>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</si>
  <si>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</si>
  <si>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</si>
  <si>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</si>
  <si>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</si>
  <si>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</si>
  <si>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</si>
  <si>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</si>
  <si>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</si>
  <si>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</si>
  <si>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</si>
  <si>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</si>
  <si>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</si>
  <si>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</si>
  <si>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</si>
  <si>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</si>
  <si>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</si>
  <si>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</si>
  <si>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</si>
  <si>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</si>
  <si>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</si>
  <si>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</si>
  <si>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</si>
  <si>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</si>
  <si>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</si>
  <si>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</si>
  <si>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</si>
  <si>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</si>
  <si>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</si>
  <si>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</si>
  <si>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</si>
  <si>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</si>
  <si>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</si>
  <si>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</si>
  <si>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</si>
  <si>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</si>
  <si>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</si>
  <si>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</si>
  <si>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</si>
  <si>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</si>
  <si>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</si>
  <si>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</si>
  <si>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</si>
  <si>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</si>
  <si>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</si>
  <si>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</si>
  <si>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</si>
  <si>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</si>
  <si>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</si>
  <si>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</si>
  <si>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</si>
  <si>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</si>
  <si>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</si>
  <si>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</si>
  <si>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</si>
  <si>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</si>
  <si>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</si>
  <si>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</si>
  <si>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</si>
  <si>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</si>
  <si>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</si>
  <si>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</si>
  <si>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</si>
  <si>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</si>
  <si>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</si>
  <si>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</si>
  <si>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</si>
  <si>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</si>
  <si>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</si>
  <si>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</si>
  <si>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</si>
  <si>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</si>
  <si>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</si>
  <si>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</si>
  <si>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</si>
  <si>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</si>
  <si>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</si>
  <si>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</si>
  <si>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</si>
  <si>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</si>
  <si>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</si>
  <si>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</si>
  <si>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</si>
  <si>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</si>
  <si>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</si>
  <si>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</si>
  <si>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</si>
  <si>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</si>
  <si>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</si>
  <si>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</si>
  <si>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</si>
  <si>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</si>
  <si>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</si>
  <si>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</si>
  <si>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</si>
  <si>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</si>
  <si>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</si>
  <si>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</si>
  <si>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</si>
  <si>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</si>
  <si>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</si>
  <si>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</si>
  <si>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</si>
  <si>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</si>
  <si>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</si>
  <si>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</si>
  <si>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</si>
  <si>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</si>
  <si>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</si>
  <si>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</si>
  <si>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</si>
  <si>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</si>
  <si>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</si>
  <si>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</si>
  <si>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</si>
  <si>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</si>
  <si>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</si>
  <si>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</si>
  <si>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</si>
  <si>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</si>
  <si>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</si>
  <si>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</si>
  <si>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</si>
  <si>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</si>
  <si>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</si>
  <si>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</si>
  <si>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</si>
  <si>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</si>
  <si>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</si>
  <si>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</si>
  <si>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</si>
  <si>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</si>
  <si>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</si>
  <si>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</si>
  <si>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</si>
  <si>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</si>
  <si>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</si>
  <si>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</si>
  <si>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</si>
  <si>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</si>
  <si>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</si>
  <si>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</si>
  <si>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</si>
  <si>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</si>
  <si>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</si>
  <si>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</si>
  <si>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</si>
  <si>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</si>
  <si>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</si>
  <si>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</si>
  <si>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</si>
  <si>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</si>
  <si>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</si>
  <si>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</si>
  <si>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</si>
  <si>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</si>
  <si>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</si>
  <si>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</si>
  <si>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</si>
  <si>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</si>
  <si>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</si>
  <si>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</si>
  <si>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</si>
  <si>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</si>
  <si>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</si>
  <si>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</si>
  <si>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</si>
  <si>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</si>
  <si>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</si>
  <si>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</si>
  <si>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</si>
  <si>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</si>
  <si>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</si>
  <si>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</si>
  <si>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</si>
  <si>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</si>
  <si>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</si>
  <si>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</si>
  <si>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</si>
  <si>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</si>
  <si>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</si>
  <si>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</si>
  <si>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</si>
  <si>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</si>
  <si>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</si>
  <si>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</si>
  <si>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</si>
  <si>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</si>
  <si>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</si>
  <si>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</si>
  <si>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</si>
  <si>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</si>
  <si>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</si>
  <si>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Bill Category</t>
  </si>
  <si>
    <t>Age Category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</si>
  <si>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</si>
  <si>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</si>
  <si>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</si>
  <si>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</si>
  <si>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Case</t>
  </si>
  <si>
    <t>Follow Up</t>
  </si>
  <si>
    <t>Dept</t>
  </si>
  <si>
    <t>Payment Status</t>
  </si>
  <si>
    <t>Risk</t>
  </si>
  <si>
    <t>MR</t>
  </si>
  <si>
    <t>And</t>
  </si>
  <si>
    <t>OR</t>
  </si>
  <si>
    <t>Sum of bill of either cardiology or nuerology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</si>
</sst>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7"/>
  <sheetViews>
    <sheetView tabSelected="1" topLeftCell="A50" workbookViewId="0">
      <selection activeCell="H67" sqref="H67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227</v>
      </c>
      <c r="O1" s="14" t="s">
        <v>222</v>
      </c>
      <c r="P1" s="14" t="s">
        <v>223</v>
      </c>
      <c r="Q1" s="14" t="s">
        <v>228</v>
      </c>
      <c r="R1" s="14" t="s">
        <v>229</v>
      </c>
      <c r="S1" s="14" t="s">
        <v>230</v>
      </c>
      <c r="T1" s="14" t="s">
        <v>231</v>
      </c>
      <c r="U1" s="15" t="s">
        <v>232</v>
      </c>
      <c r="V1" s="15" t="s">
        <v>233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 up","No Action")</f>
        <v>No Action</v>
      </c>
      <c r="O2" t="str">
        <f>IF(K2&gt;40000,"High Bill","Normal Bill")</f>
        <v>Normal Bill</v>
      </c>
      <c r="P2" t="str">
        <f>IF(C2&gt;=60,"Senior Citizen","Non Senior")</f>
        <v>Non Senior</v>
      </c>
      <c r="Q2" t="str">
        <f>IF(AND(K2&gt;40000,M2&gt;5),"High Billing Case","Normal Case")</f>
        <v>Normal Case</v>
      </c>
      <c r="R2" t="str">
        <f>IF(AND(L2="Pending",K2&gt;30000),"Urgent Followup","No Action")</f>
        <v>No Action</v>
      </c>
      <c r="S2" t="str">
        <f>IF(OR(E2="Cardiology",E2="Neurology"),"Priority Department","Regular Department")</f>
        <v>Priority Department</v>
      </c>
      <c r="T2" t="str">
        <f>IF(NOT(L2="Pending"),"Payment Completed","Not Completed")</f>
        <v>Payment Completed</v>
      </c>
      <c r="U2" t="str">
        <f>IF(K2&lt;15000,"Low",IF(AND(K2&gt;=15000,K2&lt;30000),"Medium",IF(AND(K2&gt;=30000,K2&lt;50000),"High","Very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 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 Senior")</f>
        <v>Non Senior</v>
      </c>
      <c r="Q3" t="str">
        <f t="shared" ref="Q3:Q41" si="3">IF(AND(K3&gt;40000,M3&gt;5),"High Billing Case","Normal Case")</f>
        <v>High Billing Case</v>
      </c>
      <c r="R3" t="str">
        <f t="shared" ref="R3:R41" si="4">IF(AND(L3="Pending",K3&gt;30000),"Urgent Followup","No Action")</f>
        <v>No Action</v>
      </c>
      <c r="S3" t="str">
        <f t="shared" ref="S3:S41" si="5">IF(OR(E3="Cardiology",E3="Neurology"),"Priority Department","Regular Department")</f>
        <v>Regular Department</v>
      </c>
      <c r="T3" t="str">
        <f t="shared" ref="T3:T41" si="6">IF(NOT(L3="Pending"),"Payment Completed","Not Completed")</f>
        <v>Payment Completed</v>
      </c>
      <c r="U3" t="str">
        <f t="shared" ref="U3:U41" si="7">IF(K3&lt;15000,"Low",IF(AND(K3&gt;=15000,K3&lt;30000),"Medium",IF(AND(K3&gt;=30000,K3&lt;50000),"High","Very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 up</v>
      </c>
      <c r="O5" t="str">
        <f t="shared" si="1"/>
        <v>Normal Bill</v>
      </c>
      <c r="P5" t="str">
        <f t="shared" si="2"/>
        <v>Non Senior</v>
      </c>
      <c r="Q5" t="str">
        <f t="shared" si="3"/>
        <v>Normal Case</v>
      </c>
      <c r="R5" t="str">
        <f t="shared" si="4"/>
        <v>No Action</v>
      </c>
      <c r="S5" t="str">
        <f t="shared" si="5"/>
        <v>Priority Department</v>
      </c>
      <c r="T5" t="str">
        <f t="shared" si="6"/>
        <v>Not Completed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 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Followup</v>
      </c>
      <c r="S8" t="str">
        <f t="shared" si="5"/>
        <v>Priority Department</v>
      </c>
      <c r="T8" t="str">
        <f t="shared" si="6"/>
        <v>Not Completed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Priority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 up</v>
      </c>
      <c r="O13" t="str">
        <f t="shared" si="1"/>
        <v>Normal Bill</v>
      </c>
      <c r="P13" t="str">
        <f t="shared" si="2"/>
        <v>Non Senior</v>
      </c>
      <c r="Q13" t="str">
        <f t="shared" si="3"/>
        <v>Normal Case</v>
      </c>
      <c r="R13" t="str">
        <f t="shared" si="4"/>
        <v>Urgent Followup</v>
      </c>
      <c r="S13" t="str">
        <f t="shared" si="5"/>
        <v>Priority Department</v>
      </c>
      <c r="T13" t="str">
        <f t="shared" si="6"/>
        <v>Not Completed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 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Followup</v>
      </c>
      <c r="S16" t="str">
        <f t="shared" si="5"/>
        <v>Priority Department</v>
      </c>
      <c r="T16" t="str">
        <f t="shared" si="6"/>
        <v>Not Completed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 up</v>
      </c>
      <c r="O20" t="str">
        <f t="shared" si="1"/>
        <v>Normal Bill</v>
      </c>
      <c r="P20" t="str">
        <f t="shared" si="2"/>
        <v>Non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Not Completed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 Senior</v>
      </c>
      <c r="Q21" t="str">
        <f t="shared" si="3"/>
        <v>Normal Case</v>
      </c>
      <c r="R21" t="str">
        <f t="shared" si="4"/>
        <v>No Action</v>
      </c>
      <c r="S21" t="str">
        <f t="shared" si="5"/>
        <v>Priority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 up</v>
      </c>
      <c r="O25" t="str">
        <f t="shared" si="1"/>
        <v>Normal Bill</v>
      </c>
      <c r="P25" t="str">
        <f t="shared" si="2"/>
        <v>Non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Not Completed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Priority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 up</v>
      </c>
      <c r="O28" t="str">
        <f t="shared" si="1"/>
        <v>Normal Bill</v>
      </c>
      <c r="P28" t="str">
        <f t="shared" si="2"/>
        <v>Non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Not Completed</v>
      </c>
      <c r="U28" t="str">
        <f>IF(K28&lt;15000,"Low",IF(AND(K28&gt;=15000,K28&lt;30000),"Medium",IF(AND(K28&gt;=30000,K28&lt;50000),"High","Very High")))</f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 Senior</v>
      </c>
      <c r="Q31" t="str">
        <f t="shared" si="3"/>
        <v>Normal Case</v>
      </c>
      <c r="R31" t="str">
        <f t="shared" si="4"/>
        <v>No Action</v>
      </c>
      <c r="S31" t="str">
        <f t="shared" si="5"/>
        <v>Priority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>IF(L32="Pending","Follow up","No Action")</f>
        <v>No Action</v>
      </c>
      <c r="O32" t="str">
        <f t="shared" si="1"/>
        <v>Normal Bill</v>
      </c>
      <c r="P32" t="str">
        <f t="shared" si="2"/>
        <v>Non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 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Followup</v>
      </c>
      <c r="S33" t="str">
        <f t="shared" si="5"/>
        <v>Priority Department</v>
      </c>
      <c r="T33" t="str">
        <f t="shared" si="6"/>
        <v>Not Completed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 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Followup</v>
      </c>
      <c r="S36" t="str">
        <f t="shared" si="5"/>
        <v>Priority Department</v>
      </c>
      <c r="T36" t="str">
        <f t="shared" si="6"/>
        <v>Not Completed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 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Not Completed</v>
      </c>
      <c r="U40" t="str">
        <f>IF(K40&lt;15000,"Low",IF(AND(K40&gt;=15000,K40&lt;30000),"Medium",IF(AND(K40&gt;=30000,K40&lt;50000),"High","Very High")))</f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Priority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5" spans="1:22">
      <c r="K45" t="s">
        <v>4</v>
      </c>
    </row>
    <row r="46" spans="1:22">
      <c r="I46">
        <f>DCOUNTA(A1:V41,5,K45:K46)</f>
        <v>7</v>
      </c>
      <c r="K46" t="s">
        <v>99</v>
      </c>
    </row>
    <row r="47" spans="1:22">
      <c r="D47">
        <v>1</v>
      </c>
      <c r="E47" t="s">
        <v>123</v>
      </c>
      <c r="H47">
        <f>SUM(Bills)</f>
        <v>1019500</v>
      </c>
      <c r="I47">
        <f>DSUM(A1:V41,11,K48:K49)</f>
        <v>443500</v>
      </c>
    </row>
    <row r="48" spans="1:22">
      <c r="D48">
        <v>2</v>
      </c>
      <c r="E48" t="s">
        <v>138</v>
      </c>
      <c r="H48">
        <f>SUMIF(Department,E2,Bills)</f>
        <v>443500</v>
      </c>
      <c r="K48" t="s">
        <v>4</v>
      </c>
    </row>
    <row r="49" spans="4:13">
      <c r="D49">
        <v>3</v>
      </c>
      <c r="E49" t="s">
        <v>139</v>
      </c>
      <c r="H49">
        <f>COUNTIF(Department,E15)</f>
        <v>7</v>
      </c>
      <c r="I49">
        <f>DAVERAGE(A1:V41,11,K51:K52)</f>
        <v>25571.428571428572</v>
      </c>
      <c r="K49" t="s">
        <v>95</v>
      </c>
    </row>
    <row r="50" spans="4:13">
      <c r="D50">
        <v>4</v>
      </c>
      <c r="E50" t="s">
        <v>140</v>
      </c>
      <c r="H50">
        <f>AVERAGEIF(Department,E18,Bills)</f>
        <v>25571.428571428572</v>
      </c>
    </row>
    <row r="51" spans="4:13">
      <c r="D51">
        <v>5</v>
      </c>
      <c r="E51" t="s">
        <v>124</v>
      </c>
      <c r="H51">
        <f>SUMIF(J2:J41,J36,Bills)</f>
        <v>499500</v>
      </c>
      <c r="K51" t="s">
        <v>4</v>
      </c>
    </row>
    <row r="52" spans="4:13">
      <c r="D52">
        <v>6</v>
      </c>
      <c r="E52" t="s">
        <v>125</v>
      </c>
      <c r="H52">
        <f>COUNTIF(L2:L41,L16)</f>
        <v>10</v>
      </c>
      <c r="K52" t="s">
        <v>98</v>
      </c>
    </row>
    <row r="53" spans="4:13">
      <c r="D53">
        <v>7</v>
      </c>
      <c r="E53" t="s">
        <v>126</v>
      </c>
      <c r="H53">
        <f>SUMIF(L2:L41,L20,Bills)</f>
        <v>344500</v>
      </c>
    </row>
    <row r="54" spans="4:13">
      <c r="D54">
        <v>8</v>
      </c>
      <c r="E54" t="s">
        <v>127</v>
      </c>
      <c r="H54">
        <f>SUMIFS(Bills,Department,E2,J2:J41,J19)</f>
        <v>275500</v>
      </c>
      <c r="K54" t="s">
        <v>4</v>
      </c>
      <c r="L54" t="s">
        <v>9</v>
      </c>
      <c r="M54" s="16" t="s">
        <v>234</v>
      </c>
    </row>
    <row r="55" spans="4:13">
      <c r="D55">
        <v>9</v>
      </c>
      <c r="E55" t="s">
        <v>128</v>
      </c>
      <c r="H55">
        <f>COUNTIFS(Department,E16,L2:L41,L25)</f>
        <v>4</v>
      </c>
      <c r="K55" t="s">
        <v>95</v>
      </c>
      <c r="L55" t="s">
        <v>119</v>
      </c>
      <c r="M55" s="16"/>
    </row>
    <row r="56" spans="4:13">
      <c r="D56">
        <v>10</v>
      </c>
      <c r="E56" t="s">
        <v>129</v>
      </c>
      <c r="H56">
        <f>AVERAGEIF(J2:J41,J15,Bills)</f>
        <v>25766.666666666668</v>
      </c>
    </row>
    <row r="57" spans="4:13">
      <c r="D57">
        <v>11</v>
      </c>
      <c r="E57" t="s">
        <v>130</v>
      </c>
      <c r="H57">
        <f>COUNTIF(Bills,"&gt;40000")</f>
        <v>9</v>
      </c>
      <c r="K57" t="s">
        <v>4</v>
      </c>
      <c r="L57" s="16" t="s">
        <v>235</v>
      </c>
    </row>
    <row r="58" spans="4:13">
      <c r="D58">
        <v>12</v>
      </c>
      <c r="E58" t="s">
        <v>131</v>
      </c>
      <c r="H58">
        <f>SUMIF(Bills,"&gt;40000")</f>
        <v>508000</v>
      </c>
      <c r="K58" t="s">
        <v>95</v>
      </c>
      <c r="L58" s="16"/>
    </row>
    <row r="59" spans="4:13">
      <c r="D59">
        <v>13</v>
      </c>
      <c r="E59" t="s">
        <v>132</v>
      </c>
      <c r="H59">
        <f>COUNTIF(M2:M41,"&gt;5")</f>
        <v>11</v>
      </c>
      <c r="K59" t="s">
        <v>98</v>
      </c>
      <c r="L59" s="16"/>
    </row>
    <row r="60" spans="4:13">
      <c r="D60">
        <v>14</v>
      </c>
      <c r="E60" t="s">
        <v>133</v>
      </c>
      <c r="H60">
        <f>SUMIFS(Bills,M2:M41,"&gt;5")</f>
        <v>582000</v>
      </c>
    </row>
    <row r="61" spans="4:13">
      <c r="D61">
        <v>15</v>
      </c>
      <c r="E61" t="s">
        <v>134</v>
      </c>
      <c r="H61">
        <f>SUMIFS(Bills,Department,E2,M2:M41,"&gt;5")</f>
        <v>320000</v>
      </c>
    </row>
    <row r="62" spans="4:13">
      <c r="D62">
        <v>16</v>
      </c>
      <c r="E62" t="s">
        <v>135</v>
      </c>
      <c r="H62">
        <f>AVERAGEIF(L2:L41,L20,M2:M41)</f>
        <v>5.8</v>
      </c>
    </row>
    <row r="63" spans="4:13">
      <c r="D63">
        <v>17</v>
      </c>
      <c r="E63" t="s">
        <v>136</v>
      </c>
      <c r="H63">
        <f>_xlfn.MAXIFS(Bills,Department,E16)</f>
        <v>76000</v>
      </c>
    </row>
    <row r="64" spans="4:13">
      <c r="D64">
        <v>18</v>
      </c>
      <c r="E64" t="s">
        <v>137</v>
      </c>
      <c r="H64">
        <f>_xlfn.MAXIFS(Bills,Department,E14)</f>
        <v>47000</v>
      </c>
    </row>
    <row r="65" spans="4:9">
      <c r="D65">
        <v>19</v>
      </c>
      <c r="E65" t="s">
        <v>141</v>
      </c>
      <c r="H65">
        <f>COUNTIFS(Department,E2,L2:L41,L16)</f>
        <v>4</v>
      </c>
    </row>
    <row r="66" spans="4:9">
      <c r="D66">
        <v>20</v>
      </c>
      <c r="E66" t="s">
        <v>142</v>
      </c>
      <c r="H66">
        <f>AVERAGEIFS(Bills,Department,E2,J2:J41,J19)</f>
        <v>55100</v>
      </c>
      <c r="I66">
        <f>DAVERAGE(A1:V41,11,K54:L55)</f>
        <v>55100</v>
      </c>
    </row>
    <row r="67" spans="4:9">
      <c r="D67">
        <v>21</v>
      </c>
      <c r="E67" t="s">
        <v>236</v>
      </c>
      <c r="H67">
        <f>DSUM(A1:V41,11,K57:K59)</f>
        <v>622500</v>
      </c>
    </row>
  </sheetData>
  <mergeCells count="2">
    <mergeCell ref="M54:M55"/>
    <mergeCell ref="L57:L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workbookViewId="0">
      <selection activeCell="B34" sqref="B34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224</v>
      </c>
    </row>
    <row r="43" spans="1:3">
      <c r="A43" s="11"/>
    </row>
    <row r="44" spans="1:3">
      <c r="A44" s="11" t="s">
        <v>225</v>
      </c>
    </row>
    <row r="45" spans="1:3">
      <c r="A45" s="12" t="s">
        <v>226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D24" sqref="D24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8.8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Patient_Data</vt:lpstr>
      <vt:lpstr>Questions</vt:lpstr>
      <vt:lpstr>Answers</vt:lpstr>
      <vt:lpstr>Bills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Hasini Vasala</cp:lastModifiedBy>
  <dcterms:created xsi:type="dcterms:W3CDTF">2026-09-09T05:55:57Z</dcterms:created>
  <dcterms:modified xsi:type="dcterms:W3CDTF">2026-09-24T06:41:58Z</dcterms:modified>
</cp:coreProperties>
</file>