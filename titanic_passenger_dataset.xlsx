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91901\Downloads\Excel Codegnan\"/>
    </mc:Choice>
  </mc:AlternateContent>
  <xr:revisionPtr revIDLastSave="0" documentId="13_ncr:1_{3C2F492C-E00A-451B-8366-DE52AB5B136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Sheet3" sheetId="4" r:id="rId3"/>
    <sheet name="Titanic Passengers" sheetId="1" r:id="rId4"/>
  </sheets>
  <definedNames>
    <definedName name="_xlnm._FilterDatabase" localSheetId="3" hidden="1">'Titanic Passengers'!$A$1:$J$21</definedName>
  </definedNames>
  <calcPr calcId="191029"/>
  <pivotCaches>
    <pivotCache cacheId="8" r:id="rId5"/>
  </pivotCaches>
</workbook>
</file>

<file path=xl/calcChain.xml><?xml version="1.0" encoding="utf-8"?>
<calcChain xmlns="http://schemas.openxmlformats.org/spreadsheetml/2006/main">
  <c r="E33" i="1" l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E25" i="1"/>
  <c r="E26" i="1"/>
  <c r="E27" i="1"/>
  <c r="E28" i="1"/>
  <c r="E29" i="1"/>
  <c r="E30" i="1"/>
  <c r="E31" i="1"/>
  <c r="E32" i="1"/>
  <c r="K4" i="1"/>
  <c r="K3" i="1"/>
  <c r="K2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E24" i="1" l="1"/>
</calcChain>
</file>

<file path=xl/sharedStrings.xml><?xml version="1.0" encoding="utf-8"?>
<sst xmlns="http://schemas.openxmlformats.org/spreadsheetml/2006/main" count="133" uniqueCount="85">
  <si>
    <t>Survived</t>
  </si>
  <si>
    <t>Embarked</t>
  </si>
  <si>
    <t>Braund, Mr. Owen Harris</t>
  </si>
  <si>
    <t>male</t>
  </si>
  <si>
    <t>S</t>
  </si>
  <si>
    <t>Cumings, Mrs. John Bradley</t>
  </si>
  <si>
    <t>female</t>
  </si>
  <si>
    <t>C</t>
  </si>
  <si>
    <t>Heikkinen, Miss. Laina</t>
  </si>
  <si>
    <t>Futrelle, Mrs. Jacques Heath</t>
  </si>
  <si>
    <t>Allen, Mr. William Henry</t>
  </si>
  <si>
    <t>Moran, Mr. James</t>
  </si>
  <si>
    <t>Q</t>
  </si>
  <si>
    <t>McCarthy, Mr. Timothy J</t>
  </si>
  <si>
    <t>Palsson, Master. Gosta Leonard</t>
  </si>
  <si>
    <t>Johnson, Mrs. Oscar W</t>
  </si>
  <si>
    <t>Nasser, Mrs. Nicholas</t>
  </si>
  <si>
    <t>Sandstrom, Miss. Marguerite Rut</t>
  </si>
  <si>
    <t>Bonnell, Miss. Elizabeth</t>
  </si>
  <si>
    <t>Saundercock, Mr. William Henry</t>
  </si>
  <si>
    <t>Andersson, Mr. Anders Johan</t>
  </si>
  <si>
    <t>Vestrom, Miss. Hulda Amanda</t>
  </si>
  <si>
    <t>Hewlett, Mrs. (Mary D Kingcome)</t>
  </si>
  <si>
    <t>Rice, Master. Eugene</t>
  </si>
  <si>
    <t>Williams, Mr. Charles Eugene</t>
  </si>
  <si>
    <t>Vander Planke, Mrs. Julius</t>
  </si>
  <si>
    <t>Masselmani, Mrs. Fatima</t>
  </si>
  <si>
    <t>Passenger_ID</t>
  </si>
  <si>
    <t>Pclass</t>
  </si>
  <si>
    <t>Name</t>
  </si>
  <si>
    <t>Age</t>
  </si>
  <si>
    <t>Sex</t>
  </si>
  <si>
    <t>SibSp</t>
  </si>
  <si>
    <t>Parch</t>
  </si>
  <si>
    <t>Fare</t>
  </si>
  <si>
    <t>Adult/Child</t>
  </si>
  <si>
    <t>Braund</t>
  </si>
  <si>
    <t xml:space="preserve"> Mr. Owen Harris</t>
  </si>
  <si>
    <t>Cumings</t>
  </si>
  <si>
    <t xml:space="preserve"> Mrs. John Bradley</t>
  </si>
  <si>
    <t>Heikkinen</t>
  </si>
  <si>
    <t xml:space="preserve"> Miss. Laina</t>
  </si>
  <si>
    <t>Futrelle</t>
  </si>
  <si>
    <t xml:space="preserve"> Mrs. Jacques Heath</t>
  </si>
  <si>
    <t>Allen</t>
  </si>
  <si>
    <t xml:space="preserve"> Mr. William Henry</t>
  </si>
  <si>
    <t>Moran</t>
  </si>
  <si>
    <t xml:space="preserve"> Mr. James</t>
  </si>
  <si>
    <t>McCarthy</t>
  </si>
  <si>
    <t xml:space="preserve"> Mr. Timothy J</t>
  </si>
  <si>
    <t>Palsson</t>
  </si>
  <si>
    <t xml:space="preserve"> Master. Gosta Leonard</t>
  </si>
  <si>
    <t>Johnson</t>
  </si>
  <si>
    <t xml:space="preserve"> Mrs. Oscar W</t>
  </si>
  <si>
    <t>Nasser</t>
  </si>
  <si>
    <t xml:space="preserve"> Mrs. Nicholas</t>
  </si>
  <si>
    <t>Sandstrom</t>
  </si>
  <si>
    <t xml:space="preserve"> Miss. Marguerite Rut</t>
  </si>
  <si>
    <t>Bonnell</t>
  </si>
  <si>
    <t xml:space="preserve"> Miss. Elizabeth</t>
  </si>
  <si>
    <t>Saundercock</t>
  </si>
  <si>
    <t>Andersson</t>
  </si>
  <si>
    <t xml:space="preserve"> Mr. Anders Johan</t>
  </si>
  <si>
    <t>Vestrom</t>
  </si>
  <si>
    <t xml:space="preserve"> Miss. Hulda Amanda</t>
  </si>
  <si>
    <t>Hewlett</t>
  </si>
  <si>
    <t xml:space="preserve"> Mrs. (Mary D Kingcome)</t>
  </si>
  <si>
    <t>Rice</t>
  </si>
  <si>
    <t xml:space="preserve"> Master. Eugene</t>
  </si>
  <si>
    <t>Williams</t>
  </si>
  <si>
    <t xml:space="preserve"> Mr. Charles Eugene</t>
  </si>
  <si>
    <t>Vander Planke</t>
  </si>
  <si>
    <t xml:space="preserve"> Mrs. Julius</t>
  </si>
  <si>
    <t>Masselmani</t>
  </si>
  <si>
    <t xml:space="preserve"> Mrs. Fatima</t>
  </si>
  <si>
    <t>Column1</t>
  </si>
  <si>
    <t>Column2</t>
  </si>
  <si>
    <t>Concat</t>
  </si>
  <si>
    <t>Len</t>
  </si>
  <si>
    <t>Row Labels</t>
  </si>
  <si>
    <t>Grand Total</t>
  </si>
  <si>
    <t>Column Labels</t>
  </si>
  <si>
    <t>Count of Survived</t>
  </si>
  <si>
    <t>Adult</t>
  </si>
  <si>
    <t>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</si>
</sst>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0" fontId="0" fillId="0" borderId="9" xfId="0" applyBorder="1"/>
    <xf numFmtId="0" fontId="0" fillId="0" borderId="5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&quot;$&quot;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[titanic_passenger_dataset.xlsx]Sheet1!PivotTable1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136482939632549E-2"/>
          <c:y val="0.13786818314377369"/>
          <c:w val="0.7884468503937007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Sheet1!$B$5:$B$7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0-40BE-9742-364A22877B9A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D0-40BE-9742-364A22877B9A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Sheet1!$D$5:$D$7</c:f>
              <c:numCache>
                <c:formatCode>General</c:formatCode>
                <c:ptCount val="2"/>
                <c:pt idx="0">
                  <c:v>5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D0-40BE-9742-364A22877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808287"/>
        <c:axId val="123532751"/>
      </c:barChart>
      <c:catAx>
        <c:axId val="33080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32751"/>
        <c:crosses val="autoZero"/>
        <c:auto val="1"/>
        <c:lblAlgn val="ctr"/>
        <c:lblOffset val="100"/>
        <c:noMultiLvlLbl val="0"/>
      </c:catAx>
      <c:valAx>
        <c:axId val="12353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80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[titanic_passenger_dataset.xlsx]Sheet2!PivotTable2</c:name>
    <c:fmtId val="1"/>
  </c:pivotSource>
  <c:chart>
    <c:title>
      <c:layout>
        <c:manualLayout>
          <c:xMode val="edge"/>
          <c:yMode val="edge"/>
          <c:x val="0.45361111111111119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Sheet2!$A$4:$A$6</c:f>
              <c:strCache>
                <c:ptCount val="2"/>
                <c:pt idx="0">
                  <c:v>Adult</c:v>
                </c:pt>
                <c:pt idx="1">
                  <c:v>Child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15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D-40A8-B6E8-5B271E1A1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[titanic_passenger_dataset.xlsx]Sheet3!PivotTable3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Sheet3!$A$4:$A$7</c:f>
              <c:strCache>
                <c:ptCount val="3"/>
                <c:pt idx="0">
                  <c:v>C</c:v>
                </c:pt>
                <c:pt idx="1">
                  <c:v>Q</c:v>
                </c:pt>
                <c:pt idx="2">
                  <c:v>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1-4A83-A467-49EB53DEF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1</xdr:row>
      <xdr:rowOff>179070</xdr:rowOff>
    </xdr:from>
    <xdr:to>
      <xdr:col>12</xdr:col>
      <xdr:colOff>396240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75F6D-7FE6-35E2-EFB4-FDA709C83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1</xdr:row>
      <xdr:rowOff>156210</xdr:rowOff>
    </xdr:from>
    <xdr:to>
      <xdr:col>10</xdr:col>
      <xdr:colOff>91440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577A0E-F392-B68F-0668-4D621E4E3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171450</xdr:rowOff>
    </xdr:from>
    <xdr:to>
      <xdr:col>9</xdr:col>
      <xdr:colOff>419100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58D12-9304-FE1A-64A9-192A73E0A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la Gopikrishna" refreshedDate="46306.999819560187" createdVersion="8" refreshedVersion="8" minRefreshableVersion="3" recordCount="20" xr:uid="{F439EF8B-4F89-4CD5-A979-E08C65B809EC}">
  <cacheSource type="worksheet">
    <worksheetSource name="Table1"/>
  </cacheSource>
  <cacheFields count="15">
    <cacheField name="Passenger_ID" numFmtId="0">
      <sharedItems containsSemiMixedTypes="0" containsString="0" containsNumber="1" containsInteger="1" minValue="1" maxValue="20"/>
    </cacheField>
    <cacheField name="Survived" numFmtId="0">
      <sharedItems containsSemiMixedTypes="0" containsString="0" containsNumber="1" containsInteger="1" minValue="0" maxValue="1"/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  <cacheField name="Name" numFmtId="0">
      <sharedItems/>
    </cacheField>
    <cacheField name="Age" numFmtId="0">
      <sharedItems containsSemiMixedTypes="0" containsString="0" containsNumber="1" containsInteger="1" minValue="2" maxValue="58"/>
    </cacheField>
    <cacheField name="Sex" numFmtId="0">
      <sharedItems count="2">
        <s v="male"/>
        <s v="female"/>
      </sharedItems>
    </cacheField>
    <cacheField name="SibSp" numFmtId="0">
      <sharedItems containsSemiMixedTypes="0" containsString="0" containsNumber="1" containsInteger="1" minValue="0" maxValue="4"/>
    </cacheField>
    <cacheField name="Parch" numFmtId="0">
      <sharedItems containsSemiMixedTypes="0" containsString="0" containsNumber="1" containsInteger="1" minValue="0" maxValue="5"/>
    </cacheField>
    <cacheField name="Fare" numFmtId="164">
      <sharedItems containsSemiMixedTypes="0" containsString="0" containsNumber="1" minValue="7.2249999999999996" maxValue="71.283299999999997"/>
    </cacheField>
    <cacheField name="Embarked" numFmtId="0">
      <sharedItems count="3">
        <s v="S"/>
        <s v="C"/>
        <s v="Q"/>
      </sharedItems>
    </cacheField>
    <cacheField name="Adult/Child" numFmtId="0">
      <sharedItems count="2">
        <s v="Adult"/>
        <s v="Child"/>
      </sharedItems>
    </cacheField>
    <cacheField name="Column1" numFmtId="0">
      <sharedItems/>
    </cacheField>
    <cacheField name="Column2" numFmtId="0">
      <sharedItems/>
    </cacheField>
    <cacheField name="Concat" numFmtId="0">
      <sharedItems/>
    </cacheField>
    <cacheField name="Len" numFmtId="0">
      <sharedItems containsSemiMixedTypes="0" containsString="0" containsNumber="1" containsInteger="1" minValue="1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n v="0"/>
    <x v="0"/>
    <s v="Braund, Mr. Owen Harris"/>
    <n v="22"/>
    <x v="0"/>
    <n v="1"/>
    <n v="0"/>
    <n v="7.25"/>
    <x v="0"/>
    <x v="0"/>
    <s v="Braund"/>
    <s v=" Mr. Owen Harris"/>
    <s v="Braund Mr. Owen Harris"/>
    <n v="22"/>
  </r>
  <r>
    <n v="2"/>
    <n v="1"/>
    <x v="1"/>
    <s v="Cumings, Mrs. John Bradley"/>
    <n v="38"/>
    <x v="1"/>
    <n v="1"/>
    <n v="0"/>
    <n v="71.283299999999997"/>
    <x v="1"/>
    <x v="0"/>
    <s v="Cumings"/>
    <s v=" Mrs. John Bradley"/>
    <s v="Cumings Mrs. John Bradley"/>
    <n v="25"/>
  </r>
  <r>
    <n v="3"/>
    <n v="1"/>
    <x v="0"/>
    <s v="Heikkinen, Miss. Laina"/>
    <n v="26"/>
    <x v="1"/>
    <n v="0"/>
    <n v="0"/>
    <n v="7.9249999999999998"/>
    <x v="0"/>
    <x v="0"/>
    <s v="Heikkinen"/>
    <s v=" Miss. Laina"/>
    <s v="Heikkinen Miss. Laina"/>
    <n v="21"/>
  </r>
  <r>
    <n v="4"/>
    <n v="1"/>
    <x v="1"/>
    <s v="Futrelle, Mrs. Jacques Heath"/>
    <n v="35"/>
    <x v="1"/>
    <n v="1"/>
    <n v="0"/>
    <n v="53.1"/>
    <x v="0"/>
    <x v="0"/>
    <s v="Futrelle"/>
    <s v=" Mrs. Jacques Heath"/>
    <s v="Futrelle Mrs. Jacques Heath"/>
    <n v="27"/>
  </r>
  <r>
    <n v="5"/>
    <n v="0"/>
    <x v="0"/>
    <s v="Allen, Mr. William Henry"/>
    <n v="35"/>
    <x v="0"/>
    <n v="0"/>
    <n v="0"/>
    <n v="8.0500000000000007"/>
    <x v="0"/>
    <x v="0"/>
    <s v="Allen"/>
    <s v=" Mr. William Henry"/>
    <s v="Allen Mr. William Henry"/>
    <n v="23"/>
  </r>
  <r>
    <n v="6"/>
    <n v="0"/>
    <x v="0"/>
    <s v="Moran, Mr. James"/>
    <n v="27"/>
    <x v="0"/>
    <n v="0"/>
    <n v="0"/>
    <n v="8.4582999999999995"/>
    <x v="2"/>
    <x v="0"/>
    <s v="Moran"/>
    <s v=" Mr. James"/>
    <s v="Moran Mr. James"/>
    <n v="15"/>
  </r>
  <r>
    <n v="7"/>
    <n v="0"/>
    <x v="1"/>
    <s v="McCarthy, Mr. Timothy J"/>
    <n v="54"/>
    <x v="0"/>
    <n v="0"/>
    <n v="0"/>
    <n v="51.862499999999997"/>
    <x v="0"/>
    <x v="0"/>
    <s v="McCarthy"/>
    <s v=" Mr. Timothy J"/>
    <s v="McCarthy Mr. Timothy J"/>
    <n v="22"/>
  </r>
  <r>
    <n v="8"/>
    <n v="0"/>
    <x v="0"/>
    <s v="Palsson, Master. Gosta Leonard"/>
    <n v="2"/>
    <x v="0"/>
    <n v="3"/>
    <n v="1"/>
    <n v="21.074999999999999"/>
    <x v="0"/>
    <x v="1"/>
    <s v="Palsson"/>
    <s v=" Master. Gosta Leonard"/>
    <s v="Palsson Master. Gosta Leonard"/>
    <n v="29"/>
  </r>
  <r>
    <n v="9"/>
    <n v="1"/>
    <x v="0"/>
    <s v="Johnson, Mrs. Oscar W"/>
    <n v="27"/>
    <x v="1"/>
    <n v="0"/>
    <n v="2"/>
    <n v="11.1333"/>
    <x v="0"/>
    <x v="0"/>
    <s v="Johnson"/>
    <s v=" Mrs. Oscar W"/>
    <s v="Johnson Mrs. Oscar W"/>
    <n v="20"/>
  </r>
  <r>
    <n v="10"/>
    <n v="1"/>
    <x v="2"/>
    <s v="Nasser, Mrs. Nicholas"/>
    <n v="14"/>
    <x v="1"/>
    <n v="1"/>
    <n v="0"/>
    <n v="30.070799999999998"/>
    <x v="1"/>
    <x v="1"/>
    <s v="Nasser"/>
    <s v=" Mrs. Nicholas"/>
    <s v="Nasser Mrs. Nicholas"/>
    <n v="20"/>
  </r>
  <r>
    <n v="11"/>
    <n v="1"/>
    <x v="0"/>
    <s v="Sandstrom, Miss. Marguerite Rut"/>
    <n v="4"/>
    <x v="1"/>
    <n v="1"/>
    <n v="1"/>
    <n v="16.7"/>
    <x v="0"/>
    <x v="1"/>
    <s v="Sandstrom"/>
    <s v=" Miss. Marguerite Rut"/>
    <s v="Sandstrom Miss. Marguerite Rut"/>
    <n v="30"/>
  </r>
  <r>
    <n v="12"/>
    <n v="1"/>
    <x v="1"/>
    <s v="Bonnell, Miss. Elizabeth"/>
    <n v="58"/>
    <x v="1"/>
    <n v="0"/>
    <n v="0"/>
    <n v="26.55"/>
    <x v="0"/>
    <x v="0"/>
    <s v="Bonnell"/>
    <s v=" Miss. Elizabeth"/>
    <s v="Bonnell Miss. Elizabeth"/>
    <n v="23"/>
  </r>
  <r>
    <n v="13"/>
    <n v="0"/>
    <x v="0"/>
    <s v="Saundercock, Mr. William Henry"/>
    <n v="20"/>
    <x v="0"/>
    <n v="0"/>
    <n v="0"/>
    <n v="8.0500000000000007"/>
    <x v="0"/>
    <x v="0"/>
    <s v="Saundercock"/>
    <s v=" Mr. William Henry"/>
    <s v="Saundercock Mr. William Henry"/>
    <n v="29"/>
  </r>
  <r>
    <n v="14"/>
    <n v="0"/>
    <x v="0"/>
    <s v="Andersson, Mr. Anders Johan"/>
    <n v="39"/>
    <x v="0"/>
    <n v="1"/>
    <n v="5"/>
    <n v="31.274999999999999"/>
    <x v="0"/>
    <x v="0"/>
    <s v="Andersson"/>
    <s v=" Mr. Anders Johan"/>
    <s v="Andersson Mr. Anders Johan"/>
    <n v="26"/>
  </r>
  <r>
    <n v="15"/>
    <n v="0"/>
    <x v="2"/>
    <s v="Vestrom, Miss. Hulda Amanda"/>
    <n v="14"/>
    <x v="1"/>
    <n v="0"/>
    <n v="0"/>
    <n v="7.8541999999999996"/>
    <x v="0"/>
    <x v="1"/>
    <s v="Vestrom"/>
    <s v=" Miss. Hulda Amanda"/>
    <s v="Vestrom Miss. Hulda Amanda"/>
    <n v="26"/>
  </r>
  <r>
    <n v="16"/>
    <n v="1"/>
    <x v="2"/>
    <s v="Hewlett, Mrs. (Mary D Kingcome)"/>
    <n v="55"/>
    <x v="1"/>
    <n v="0"/>
    <n v="0"/>
    <n v="16"/>
    <x v="0"/>
    <x v="0"/>
    <s v="Hewlett"/>
    <s v=" Mrs. (Mary D Kingcome)"/>
    <s v="Hewlett Mrs. (Mary D Kingcome)"/>
    <n v="30"/>
  </r>
  <r>
    <n v="17"/>
    <n v="0"/>
    <x v="0"/>
    <s v="Rice, Master. Eugene"/>
    <n v="2"/>
    <x v="0"/>
    <n v="4"/>
    <n v="1"/>
    <n v="29.125"/>
    <x v="2"/>
    <x v="1"/>
    <s v="Rice"/>
    <s v=" Master. Eugene"/>
    <s v="Rice Master. Eugene"/>
    <n v="19"/>
  </r>
  <r>
    <n v="18"/>
    <n v="1"/>
    <x v="2"/>
    <s v="Williams, Mr. Charles Eugene"/>
    <n v="27"/>
    <x v="0"/>
    <n v="0"/>
    <n v="0"/>
    <n v="13"/>
    <x v="0"/>
    <x v="0"/>
    <s v="Williams"/>
    <s v=" Mr. Charles Eugene"/>
    <s v="Williams Mr. Charles Eugene"/>
    <n v="27"/>
  </r>
  <r>
    <n v="19"/>
    <n v="0"/>
    <x v="0"/>
    <s v="Vander Planke, Mrs. Julius"/>
    <n v="31"/>
    <x v="1"/>
    <n v="1"/>
    <n v="0"/>
    <n v="18"/>
    <x v="0"/>
    <x v="0"/>
    <s v="Vander Planke"/>
    <s v=" Mrs. Julius"/>
    <s v="Vander Planke Mrs. Julius"/>
    <n v="25"/>
  </r>
  <r>
    <n v="20"/>
    <n v="1"/>
    <x v="0"/>
    <s v="Masselmani, Mrs. Fatima"/>
    <n v="22"/>
    <x v="1"/>
    <n v="0"/>
    <n v="0"/>
    <n v="7.2249999999999996"/>
    <x v="1"/>
    <x v="0"/>
    <s v="Masselmani"/>
    <s v=" Mrs. Fatima"/>
    <s v="Masselmani Mrs. Fatima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867E1-0618-48EC-B579-588263E56C6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7" firstHeaderRow="1" firstDataRow="2" firstDataCol="1"/>
  <pivotFields count="15">
    <pivotField showAll="0"/>
    <pivotField dataField="1"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Survived" fld="1" subtotal="count" baseField="5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73CBC-DCD5-4356-B86A-306CE850741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Survived" fld="1" subtotal="count" baseField="1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56B3B-86A1-47BF-B010-327E39912394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5"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urvived" fld="1" subtotal="count" baseField="9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F5F56-A40C-49BB-8FE8-F0DD25B95686}" name="Table1" displayName="Table1" ref="A1:O21" totalsRowShown="0" headerRowDxfId="19" headerRowBorderDxfId="17" tableBorderDxfId="18" totalsRowBorderDxfId="16">
  <autoFilter ref="A1:O21" xr:uid="{4E8F5F56-A40C-49BB-8FE8-F0DD25B95686}"/>
  <tableColumns count="15">
    <tableColumn id="1" xr3:uid="{5EF9F72B-E05B-4643-8611-053BF6A6C412}" name="Passenger_ID" dataDxfId="15"/>
    <tableColumn id="2" xr3:uid="{B099B820-DEA4-48F9-AE63-1202CCDD96C6}" name="Survived" dataDxfId="14"/>
    <tableColumn id="3" xr3:uid="{CF187130-3FEA-4B4B-BF80-C6FB5B03965D}" name="Pclass" dataDxfId="13"/>
    <tableColumn id="4" xr3:uid="{CECCDA65-28CA-439F-B9DB-70B3F37451C6}" name="Name" dataDxfId="12"/>
    <tableColumn id="5" xr3:uid="{ABDC9670-87FE-4E8F-A603-09C022525634}" name="Age" dataDxfId="11"/>
    <tableColumn id="6" xr3:uid="{EA849E9E-B808-4AE8-B489-391DA3B46D29}" name="Sex" dataDxfId="10"/>
    <tableColumn id="7" xr3:uid="{35D8D85E-E8A7-4901-B288-47952812AF53}" name="SibSp" dataDxfId="9"/>
    <tableColumn id="8" xr3:uid="{7ACF20D2-187B-43A6-92E4-7A4C9DCFAFD9}" name="Parch" dataDxfId="8"/>
    <tableColumn id="9" xr3:uid="{FF616B95-CE0E-40F4-BE55-62E270D5130B}" name="Fare" dataDxfId="7"/>
    <tableColumn id="10" xr3:uid="{9B7E9ED7-6861-44F0-8C3E-653632B8FCFC}" name="Embarked" dataDxfId="6"/>
    <tableColumn id="11" xr3:uid="{6A354286-5F1F-41E1-86ED-333C28C1B554}" name="Adult/Child" dataDxfId="5">
      <calculatedColumnFormula>IF(Table1[[#This Row],[Age]]&gt;18,"Adult","Child")</calculatedColumnFormula>
    </tableColumn>
    <tableColumn id="12" xr3:uid="{B2760C1D-54F8-4926-9543-2E05DEDBD32B}" name="Column1" dataDxfId="4"/>
    <tableColumn id="13" xr3:uid="{A7732868-5FD7-4AEE-9226-275D2E29F0D6}" name="Column2" dataDxfId="3"/>
    <tableColumn id="14" xr3:uid="{6A439F03-478E-492D-9C42-305ADBE8045F}" name="Concat" dataDxfId="2">
      <calculatedColumnFormula>_xlfn.CONCAT(Table1[[#This Row],[Column1]],Table1[[#This Row],[Column2]])</calculatedColumnFormula>
    </tableColumn>
    <tableColumn id="15" xr3:uid="{7CC24F1B-9144-437F-8A1D-98CFAA21E758}" name="Len" dataDxfId="1">
      <calculatedColumnFormula>LEN(Table1[Concat])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D07C-8DAE-4008-8112-543667E51B77}">
  <dimension ref="A3:E7"/>
  <sheetViews>
    <sheetView workbookViewId="0">
      <selection activeCell="A5" sqref="A5:D7"/>
    </sheetView>
  </sheetViews>
  <sheetFormatPr defaultRowHeight="14.4" x14ac:dyDescent="0.3"/>
  <cols>
    <col min="1" max="1" width="16.21875" bestFit="1" customWidth="1"/>
    <col min="2" max="2" width="15.5546875" bestFit="1" customWidth="1"/>
    <col min="3" max="3" width="2" bestFit="1" customWidth="1"/>
    <col min="4" max="4" width="3" bestFit="1" customWidth="1"/>
    <col min="5" max="5" width="10.77734375" bestFit="1" customWidth="1"/>
  </cols>
  <sheetData>
    <row r="3" spans="1:5" x14ac:dyDescent="0.3">
      <c r="A3" s="14" t="s">
        <v>82</v>
      </c>
      <c r="B3" s="14" t="s">
        <v>81</v>
      </c>
    </row>
    <row r="4" spans="1:5" x14ac:dyDescent="0.3">
      <c r="A4" s="14" t="s">
        <v>79</v>
      </c>
      <c r="B4">
        <v>1</v>
      </c>
      <c r="C4">
        <v>2</v>
      </c>
      <c r="D4">
        <v>3</v>
      </c>
      <c r="E4" t="s">
        <v>80</v>
      </c>
    </row>
    <row r="5" spans="1:5" x14ac:dyDescent="0.3">
      <c r="A5" s="15" t="s">
        <v>6</v>
      </c>
      <c r="B5" s="16">
        <v>3</v>
      </c>
      <c r="C5" s="16">
        <v>3</v>
      </c>
      <c r="D5" s="16">
        <v>5</v>
      </c>
      <c r="E5" s="16">
        <v>11</v>
      </c>
    </row>
    <row r="6" spans="1:5" x14ac:dyDescent="0.3">
      <c r="A6" s="15" t="s">
        <v>3</v>
      </c>
      <c r="B6" s="16">
        <v>1</v>
      </c>
      <c r="C6" s="16">
        <v>1</v>
      </c>
      <c r="D6" s="16">
        <v>7</v>
      </c>
      <c r="E6" s="16">
        <v>9</v>
      </c>
    </row>
    <row r="7" spans="1:5" x14ac:dyDescent="0.3">
      <c r="A7" s="15" t="s">
        <v>80</v>
      </c>
      <c r="B7" s="16">
        <v>4</v>
      </c>
      <c r="C7" s="16">
        <v>4</v>
      </c>
      <c r="D7" s="16">
        <v>12</v>
      </c>
      <c r="E7" s="16">
        <v>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285E-7C67-468F-B558-6AD70606487A}">
  <dimension ref="A3:B6"/>
  <sheetViews>
    <sheetView tabSelected="1" workbookViewId="0">
      <selection activeCell="A3" sqref="A3:B6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14" t="s">
        <v>79</v>
      </c>
      <c r="B3" t="s">
        <v>82</v>
      </c>
    </row>
    <row r="4" spans="1:2" x14ac:dyDescent="0.3">
      <c r="A4" s="15" t="s">
        <v>83</v>
      </c>
      <c r="B4" s="16">
        <v>15</v>
      </c>
    </row>
    <row r="5" spans="1:2" x14ac:dyDescent="0.3">
      <c r="A5" s="15" t="s">
        <v>84</v>
      </c>
      <c r="B5" s="16">
        <v>5</v>
      </c>
    </row>
    <row r="6" spans="1:2" x14ac:dyDescent="0.3">
      <c r="A6" s="15" t="s">
        <v>80</v>
      </c>
      <c r="B6" s="16">
        <v>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227E-41FA-4DE5-9E19-AEEF2A230363}">
  <dimension ref="A3:B7"/>
  <sheetViews>
    <sheetView workbookViewId="0">
      <selection activeCell="A4" sqref="A4:B7"/>
    </sheetView>
  </sheetViews>
  <sheetFormatPr defaultRowHeight="14.4" x14ac:dyDescent="0.3"/>
  <cols>
    <col min="1" max="1" width="12.5546875" bestFit="1" customWidth="1"/>
    <col min="2" max="2" width="16.21875" bestFit="1" customWidth="1"/>
  </cols>
  <sheetData>
    <row r="3" spans="1:2" x14ac:dyDescent="0.3">
      <c r="A3" s="14" t="s">
        <v>79</v>
      </c>
      <c r="B3" t="s">
        <v>82</v>
      </c>
    </row>
    <row r="4" spans="1:2" x14ac:dyDescent="0.3">
      <c r="A4" s="15" t="s">
        <v>7</v>
      </c>
      <c r="B4" s="16">
        <v>3</v>
      </c>
    </row>
    <row r="5" spans="1:2" x14ac:dyDescent="0.3">
      <c r="A5" s="15" t="s">
        <v>12</v>
      </c>
      <c r="B5" s="16">
        <v>2</v>
      </c>
    </row>
    <row r="6" spans="1:2" x14ac:dyDescent="0.3">
      <c r="A6" s="15" t="s">
        <v>4</v>
      </c>
      <c r="B6" s="16">
        <v>15</v>
      </c>
    </row>
    <row r="7" spans="1:2" x14ac:dyDescent="0.3">
      <c r="A7" s="15" t="s">
        <v>80</v>
      </c>
      <c r="B7" s="16">
        <v>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14.109375" customWidth="1"/>
    <col min="2" max="2" width="10.21875" customWidth="1"/>
    <col min="3" max="3" width="8" customWidth="1"/>
    <col min="4" max="4" width="33" customWidth="1"/>
    <col min="5" max="5" width="18.77734375" bestFit="1" customWidth="1"/>
    <col min="6" max="6" width="8" customWidth="1"/>
    <col min="7" max="7" width="7.5546875" customWidth="1"/>
    <col min="8" max="8" width="7.6640625" customWidth="1"/>
    <col min="9" max="9" width="9" customWidth="1"/>
    <col min="10" max="10" width="11.44140625" customWidth="1"/>
    <col min="11" max="11" width="15.109375" bestFit="1" customWidth="1"/>
    <col min="13" max="13" width="21.109375" bestFit="1" customWidth="1"/>
    <col min="14" max="14" width="27.77734375" bestFit="1" customWidth="1"/>
  </cols>
  <sheetData>
    <row r="1" spans="1:15" x14ac:dyDescent="0.3">
      <c r="A1" s="6" t="s">
        <v>27</v>
      </c>
      <c r="B1" s="7" t="s">
        <v>0</v>
      </c>
      <c r="C1" s="7" t="s">
        <v>28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34</v>
      </c>
      <c r="J1" s="8" t="s">
        <v>1</v>
      </c>
      <c r="K1" s="7" t="s">
        <v>35</v>
      </c>
      <c r="L1" s="7" t="s">
        <v>75</v>
      </c>
      <c r="M1" s="7" t="s">
        <v>76</v>
      </c>
      <c r="N1" s="7" t="s">
        <v>77</v>
      </c>
      <c r="O1" s="7" t="s">
        <v>78</v>
      </c>
    </row>
    <row r="2" spans="1:15" x14ac:dyDescent="0.3">
      <c r="A2" s="4">
        <v>1</v>
      </c>
      <c r="B2" s="2">
        <v>0</v>
      </c>
      <c r="C2" s="2">
        <v>3</v>
      </c>
      <c r="D2" s="2" t="s">
        <v>2</v>
      </c>
      <c r="E2" s="2">
        <v>22</v>
      </c>
      <c r="F2" s="2" t="s">
        <v>3</v>
      </c>
      <c r="G2" s="2">
        <v>1</v>
      </c>
      <c r="H2" s="2">
        <v>0</v>
      </c>
      <c r="I2" s="3">
        <v>7.25</v>
      </c>
      <c r="J2" s="5" t="s">
        <v>4</v>
      </c>
      <c r="K2" s="13" t="str">
        <f>IF(Table1[[#This Row],[Age]]&gt;18,"Adult","Child")</f>
        <v>Adult</v>
      </c>
      <c r="L2" s="2" t="s">
        <v>36</v>
      </c>
      <c r="M2" s="2" t="s">
        <v>37</v>
      </c>
      <c r="N2" s="2" t="str">
        <f>_xlfn.CONCAT(Table1[[#This Row],[Column1]],Table1[[#This Row],[Column2]])</f>
        <v>Braund Mr. Owen Harris</v>
      </c>
      <c r="O2" s="2">
        <f>LEN(Table1[Concat])</f>
        <v>22</v>
      </c>
    </row>
    <row r="3" spans="1:15" x14ac:dyDescent="0.3">
      <c r="A3" s="4">
        <v>2</v>
      </c>
      <c r="B3" s="2">
        <v>1</v>
      </c>
      <c r="C3" s="2">
        <v>1</v>
      </c>
      <c r="D3" s="2" t="s">
        <v>5</v>
      </c>
      <c r="E3" s="2">
        <v>38</v>
      </c>
      <c r="F3" s="2" t="s">
        <v>6</v>
      </c>
      <c r="G3" s="2">
        <v>1</v>
      </c>
      <c r="H3" s="2">
        <v>0</v>
      </c>
      <c r="I3" s="3">
        <v>71.283299999999997</v>
      </c>
      <c r="J3" s="5" t="s">
        <v>7</v>
      </c>
      <c r="K3" s="2" t="str">
        <f>IF(Table1[[#This Row],[Age]]&gt;18,"Adult","Child")</f>
        <v>Adult</v>
      </c>
      <c r="L3" s="2" t="s">
        <v>38</v>
      </c>
      <c r="M3" s="2" t="s">
        <v>39</v>
      </c>
      <c r="N3" s="2" t="str">
        <f>_xlfn.CONCAT(Table1[[#This Row],[Column1]],Table1[[#This Row],[Column2]])</f>
        <v>Cumings Mrs. John Bradley</v>
      </c>
      <c r="O3" s="2">
        <f>LEN(Table1[Concat])</f>
        <v>25</v>
      </c>
    </row>
    <row r="4" spans="1:15" x14ac:dyDescent="0.3">
      <c r="A4" s="4">
        <v>3</v>
      </c>
      <c r="B4" s="2">
        <v>1</v>
      </c>
      <c r="C4" s="2">
        <v>3</v>
      </c>
      <c r="D4" s="2" t="s">
        <v>8</v>
      </c>
      <c r="E4" s="2">
        <v>26</v>
      </c>
      <c r="F4" s="2" t="s">
        <v>6</v>
      </c>
      <c r="G4" s="2">
        <v>0</v>
      </c>
      <c r="H4" s="2">
        <v>0</v>
      </c>
      <c r="I4" s="3">
        <v>7.9249999999999998</v>
      </c>
      <c r="J4" s="5" t="s">
        <v>4</v>
      </c>
      <c r="K4" s="2" t="str">
        <f>IF(Table1[[#This Row],[Age]]&gt;18,"Adult","Child")</f>
        <v>Adult</v>
      </c>
      <c r="L4" s="2" t="s">
        <v>40</v>
      </c>
      <c r="M4" s="2" t="s">
        <v>41</v>
      </c>
      <c r="N4" s="2" t="str">
        <f>_xlfn.CONCAT(Table1[[#This Row],[Column1]],Table1[[#This Row],[Column2]])</f>
        <v>Heikkinen Miss. Laina</v>
      </c>
      <c r="O4" s="2">
        <f>LEN(Table1[Concat])</f>
        <v>21</v>
      </c>
    </row>
    <row r="5" spans="1:15" x14ac:dyDescent="0.3">
      <c r="A5" s="4">
        <v>4</v>
      </c>
      <c r="B5" s="2">
        <v>1</v>
      </c>
      <c r="C5" s="2">
        <v>1</v>
      </c>
      <c r="D5" s="2" t="s">
        <v>9</v>
      </c>
      <c r="E5" s="2">
        <v>35</v>
      </c>
      <c r="F5" s="2" t="s">
        <v>6</v>
      </c>
      <c r="G5" s="2">
        <v>1</v>
      </c>
      <c r="H5" s="2">
        <v>0</v>
      </c>
      <c r="I5" s="3">
        <v>53.1</v>
      </c>
      <c r="J5" s="5" t="s">
        <v>4</v>
      </c>
      <c r="K5" s="2" t="str">
        <f>IF(Table1[[#This Row],[Age]]&gt;18,"Adult","Child")</f>
        <v>Adult</v>
      </c>
      <c r="L5" s="2" t="s">
        <v>42</v>
      </c>
      <c r="M5" s="2" t="s">
        <v>43</v>
      </c>
      <c r="N5" s="2" t="str">
        <f>_xlfn.CONCAT(Table1[[#This Row],[Column1]],Table1[[#This Row],[Column2]])</f>
        <v>Futrelle Mrs. Jacques Heath</v>
      </c>
      <c r="O5" s="2">
        <f>LEN(Table1[Concat])</f>
        <v>27</v>
      </c>
    </row>
    <row r="6" spans="1:15" x14ac:dyDescent="0.3">
      <c r="A6" s="4">
        <v>5</v>
      </c>
      <c r="B6" s="2">
        <v>0</v>
      </c>
      <c r="C6" s="2">
        <v>3</v>
      </c>
      <c r="D6" s="2" t="s">
        <v>10</v>
      </c>
      <c r="E6" s="2">
        <v>35</v>
      </c>
      <c r="F6" s="2" t="s">
        <v>3</v>
      </c>
      <c r="G6" s="2">
        <v>0</v>
      </c>
      <c r="H6" s="2">
        <v>0</v>
      </c>
      <c r="I6" s="3">
        <v>8.0500000000000007</v>
      </c>
      <c r="J6" s="5" t="s">
        <v>4</v>
      </c>
      <c r="K6" s="2" t="str">
        <f>IF(Table1[[#This Row],[Age]]&gt;18,"Adult","Child")</f>
        <v>Adult</v>
      </c>
      <c r="L6" s="2" t="s">
        <v>44</v>
      </c>
      <c r="M6" s="2" t="s">
        <v>45</v>
      </c>
      <c r="N6" s="2" t="str">
        <f>_xlfn.CONCAT(Table1[[#This Row],[Column1]],Table1[[#This Row],[Column2]])</f>
        <v>Allen Mr. William Henry</v>
      </c>
      <c r="O6" s="2">
        <f>LEN(Table1[Concat])</f>
        <v>23</v>
      </c>
    </row>
    <row r="7" spans="1:15" x14ac:dyDescent="0.3">
      <c r="A7" s="4">
        <v>6</v>
      </c>
      <c r="B7" s="2">
        <v>0</v>
      </c>
      <c r="C7" s="2">
        <v>3</v>
      </c>
      <c r="D7" s="2" t="s">
        <v>11</v>
      </c>
      <c r="E7" s="2">
        <v>27</v>
      </c>
      <c r="F7" s="2" t="s">
        <v>3</v>
      </c>
      <c r="G7" s="2">
        <v>0</v>
      </c>
      <c r="H7" s="2">
        <v>0</v>
      </c>
      <c r="I7" s="3">
        <v>8.4582999999999995</v>
      </c>
      <c r="J7" s="5" t="s">
        <v>12</v>
      </c>
      <c r="K7" s="2" t="str">
        <f>IF(Table1[[#This Row],[Age]]&gt;18,"Adult","Child")</f>
        <v>Adult</v>
      </c>
      <c r="L7" s="2" t="s">
        <v>46</v>
      </c>
      <c r="M7" s="2" t="s">
        <v>47</v>
      </c>
      <c r="N7" s="2" t="str">
        <f>_xlfn.CONCAT(Table1[[#This Row],[Column1]],Table1[[#This Row],[Column2]])</f>
        <v>Moran Mr. James</v>
      </c>
      <c r="O7" s="2">
        <f>LEN(Table1[Concat])</f>
        <v>15</v>
      </c>
    </row>
    <row r="8" spans="1:15" x14ac:dyDescent="0.3">
      <c r="A8" s="4">
        <v>7</v>
      </c>
      <c r="B8" s="2">
        <v>0</v>
      </c>
      <c r="C8" s="2">
        <v>1</v>
      </c>
      <c r="D8" s="2" t="s">
        <v>13</v>
      </c>
      <c r="E8" s="2">
        <v>54</v>
      </c>
      <c r="F8" s="2" t="s">
        <v>3</v>
      </c>
      <c r="G8" s="2">
        <v>0</v>
      </c>
      <c r="H8" s="2">
        <v>0</v>
      </c>
      <c r="I8" s="3">
        <v>51.862499999999997</v>
      </c>
      <c r="J8" s="5" t="s">
        <v>4</v>
      </c>
      <c r="K8" s="2" t="str">
        <f>IF(Table1[[#This Row],[Age]]&gt;18,"Adult","Child")</f>
        <v>Adult</v>
      </c>
      <c r="L8" s="2" t="s">
        <v>48</v>
      </c>
      <c r="M8" s="2" t="s">
        <v>49</v>
      </c>
      <c r="N8" s="2" t="str">
        <f>_xlfn.CONCAT(Table1[[#This Row],[Column1]],Table1[[#This Row],[Column2]])</f>
        <v>McCarthy Mr. Timothy J</v>
      </c>
      <c r="O8" s="2">
        <f>LEN(Table1[Concat])</f>
        <v>22</v>
      </c>
    </row>
    <row r="9" spans="1:15" x14ac:dyDescent="0.3">
      <c r="A9" s="4">
        <v>8</v>
      </c>
      <c r="B9" s="2">
        <v>0</v>
      </c>
      <c r="C9" s="2">
        <v>3</v>
      </c>
      <c r="D9" s="2" t="s">
        <v>14</v>
      </c>
      <c r="E9" s="2">
        <v>2</v>
      </c>
      <c r="F9" s="2" t="s">
        <v>3</v>
      </c>
      <c r="G9" s="2">
        <v>3</v>
      </c>
      <c r="H9" s="2">
        <v>1</v>
      </c>
      <c r="I9" s="3">
        <v>21.074999999999999</v>
      </c>
      <c r="J9" s="5" t="s">
        <v>4</v>
      </c>
      <c r="K9" s="2" t="str">
        <f>IF(Table1[[#This Row],[Age]]&gt;18,"Adult","Child")</f>
        <v>Child</v>
      </c>
      <c r="L9" s="2" t="s">
        <v>50</v>
      </c>
      <c r="M9" s="2" t="s">
        <v>51</v>
      </c>
      <c r="N9" s="2" t="str">
        <f>_xlfn.CONCAT(Table1[[#This Row],[Column1]],Table1[[#This Row],[Column2]])</f>
        <v>Palsson Master. Gosta Leonard</v>
      </c>
      <c r="O9" s="2">
        <f>LEN(Table1[Concat])</f>
        <v>29</v>
      </c>
    </row>
    <row r="10" spans="1:15" x14ac:dyDescent="0.3">
      <c r="A10" s="4">
        <v>9</v>
      </c>
      <c r="B10" s="2">
        <v>1</v>
      </c>
      <c r="C10" s="2">
        <v>3</v>
      </c>
      <c r="D10" s="2" t="s">
        <v>15</v>
      </c>
      <c r="E10" s="2">
        <v>27</v>
      </c>
      <c r="F10" s="2" t="s">
        <v>6</v>
      </c>
      <c r="G10" s="2">
        <v>0</v>
      </c>
      <c r="H10" s="2">
        <v>2</v>
      </c>
      <c r="I10" s="3">
        <v>11.1333</v>
      </c>
      <c r="J10" s="5" t="s">
        <v>4</v>
      </c>
      <c r="K10" s="2" t="str">
        <f>IF(Table1[[#This Row],[Age]]&gt;18,"Adult","Child")</f>
        <v>Adult</v>
      </c>
      <c r="L10" s="2" t="s">
        <v>52</v>
      </c>
      <c r="M10" s="2" t="s">
        <v>53</v>
      </c>
      <c r="N10" s="2" t="str">
        <f>_xlfn.CONCAT(Table1[[#This Row],[Column1]],Table1[[#This Row],[Column2]])</f>
        <v>Johnson Mrs. Oscar W</v>
      </c>
      <c r="O10" s="2">
        <f>LEN(Table1[Concat])</f>
        <v>20</v>
      </c>
    </row>
    <row r="11" spans="1:15" x14ac:dyDescent="0.3">
      <c r="A11" s="4">
        <v>10</v>
      </c>
      <c r="B11" s="2">
        <v>1</v>
      </c>
      <c r="C11" s="2">
        <v>2</v>
      </c>
      <c r="D11" s="2" t="s">
        <v>16</v>
      </c>
      <c r="E11" s="2">
        <v>14</v>
      </c>
      <c r="F11" s="2" t="s">
        <v>6</v>
      </c>
      <c r="G11" s="2">
        <v>1</v>
      </c>
      <c r="H11" s="2">
        <v>0</v>
      </c>
      <c r="I11" s="3">
        <v>30.070799999999998</v>
      </c>
      <c r="J11" s="5" t="s">
        <v>7</v>
      </c>
      <c r="K11" s="2" t="str">
        <f>IF(Table1[[#This Row],[Age]]&gt;18,"Adult","Child")</f>
        <v>Child</v>
      </c>
      <c r="L11" s="2" t="s">
        <v>54</v>
      </c>
      <c r="M11" s="2" t="s">
        <v>55</v>
      </c>
      <c r="N11" s="2" t="str">
        <f>_xlfn.CONCAT(Table1[[#This Row],[Column1]],Table1[[#This Row],[Column2]])</f>
        <v>Nasser Mrs. Nicholas</v>
      </c>
      <c r="O11" s="2">
        <f>LEN(Table1[Concat])</f>
        <v>20</v>
      </c>
    </row>
    <row r="12" spans="1:15" x14ac:dyDescent="0.3">
      <c r="A12" s="4">
        <v>11</v>
      </c>
      <c r="B12" s="2">
        <v>1</v>
      </c>
      <c r="C12" s="2">
        <v>3</v>
      </c>
      <c r="D12" s="2" t="s">
        <v>17</v>
      </c>
      <c r="E12" s="2">
        <v>4</v>
      </c>
      <c r="F12" s="2" t="s">
        <v>6</v>
      </c>
      <c r="G12" s="2">
        <v>1</v>
      </c>
      <c r="H12" s="2">
        <v>1</v>
      </c>
      <c r="I12" s="3">
        <v>16.7</v>
      </c>
      <c r="J12" s="5" t="s">
        <v>4</v>
      </c>
      <c r="K12" s="2" t="str">
        <f>IF(Table1[[#This Row],[Age]]&gt;18,"Adult","Child")</f>
        <v>Child</v>
      </c>
      <c r="L12" s="2" t="s">
        <v>56</v>
      </c>
      <c r="M12" s="2" t="s">
        <v>57</v>
      </c>
      <c r="N12" s="2" t="str">
        <f>_xlfn.CONCAT(Table1[[#This Row],[Column1]],Table1[[#This Row],[Column2]])</f>
        <v>Sandstrom Miss. Marguerite Rut</v>
      </c>
      <c r="O12" s="2">
        <f>LEN(Table1[Concat])</f>
        <v>30</v>
      </c>
    </row>
    <row r="13" spans="1:15" x14ac:dyDescent="0.3">
      <c r="A13" s="4">
        <v>12</v>
      </c>
      <c r="B13" s="2">
        <v>1</v>
      </c>
      <c r="C13" s="2">
        <v>1</v>
      </c>
      <c r="D13" s="2" t="s">
        <v>18</v>
      </c>
      <c r="E13" s="2">
        <v>58</v>
      </c>
      <c r="F13" s="2" t="s">
        <v>6</v>
      </c>
      <c r="G13" s="2">
        <v>0</v>
      </c>
      <c r="H13" s="2">
        <v>0</v>
      </c>
      <c r="I13" s="3">
        <v>26.55</v>
      </c>
      <c r="J13" s="5" t="s">
        <v>4</v>
      </c>
      <c r="K13" s="2" t="str">
        <f>IF(Table1[[#This Row],[Age]]&gt;18,"Adult","Child")</f>
        <v>Adult</v>
      </c>
      <c r="L13" s="2" t="s">
        <v>58</v>
      </c>
      <c r="M13" s="2" t="s">
        <v>59</v>
      </c>
      <c r="N13" s="2" t="str">
        <f>_xlfn.CONCAT(Table1[[#This Row],[Column1]],Table1[[#This Row],[Column2]])</f>
        <v>Bonnell Miss. Elizabeth</v>
      </c>
      <c r="O13" s="2">
        <f>LEN(Table1[Concat])</f>
        <v>23</v>
      </c>
    </row>
    <row r="14" spans="1:15" x14ac:dyDescent="0.3">
      <c r="A14" s="4">
        <v>13</v>
      </c>
      <c r="B14" s="2">
        <v>0</v>
      </c>
      <c r="C14" s="2">
        <v>3</v>
      </c>
      <c r="D14" s="2" t="s">
        <v>19</v>
      </c>
      <c r="E14" s="2">
        <v>20</v>
      </c>
      <c r="F14" s="2" t="s">
        <v>3</v>
      </c>
      <c r="G14" s="2">
        <v>0</v>
      </c>
      <c r="H14" s="2">
        <v>0</v>
      </c>
      <c r="I14" s="3">
        <v>8.0500000000000007</v>
      </c>
      <c r="J14" s="5" t="s">
        <v>4</v>
      </c>
      <c r="K14" s="2" t="str">
        <f>IF(Table1[[#This Row],[Age]]&gt;18,"Adult","Child")</f>
        <v>Adult</v>
      </c>
      <c r="L14" s="2" t="s">
        <v>60</v>
      </c>
      <c r="M14" s="2" t="s">
        <v>45</v>
      </c>
      <c r="N14" s="2" t="str">
        <f>_xlfn.CONCAT(Table1[[#This Row],[Column1]],Table1[[#This Row],[Column2]])</f>
        <v>Saundercock Mr. William Henry</v>
      </c>
      <c r="O14" s="2">
        <f>LEN(Table1[Concat])</f>
        <v>29</v>
      </c>
    </row>
    <row r="15" spans="1:15" x14ac:dyDescent="0.3">
      <c r="A15" s="4">
        <v>14</v>
      </c>
      <c r="B15" s="2">
        <v>0</v>
      </c>
      <c r="C15" s="2">
        <v>3</v>
      </c>
      <c r="D15" s="2" t="s">
        <v>20</v>
      </c>
      <c r="E15" s="2">
        <v>39</v>
      </c>
      <c r="F15" s="2" t="s">
        <v>3</v>
      </c>
      <c r="G15" s="2">
        <v>1</v>
      </c>
      <c r="H15" s="2">
        <v>5</v>
      </c>
      <c r="I15" s="3">
        <v>31.274999999999999</v>
      </c>
      <c r="J15" s="5" t="s">
        <v>4</v>
      </c>
      <c r="K15" s="2" t="str">
        <f>IF(Table1[[#This Row],[Age]]&gt;18,"Adult","Child")</f>
        <v>Adult</v>
      </c>
      <c r="L15" s="2" t="s">
        <v>61</v>
      </c>
      <c r="M15" s="2" t="s">
        <v>62</v>
      </c>
      <c r="N15" s="2" t="str">
        <f>_xlfn.CONCAT(Table1[[#This Row],[Column1]],Table1[[#This Row],[Column2]])</f>
        <v>Andersson Mr. Anders Johan</v>
      </c>
      <c r="O15" s="2">
        <f>LEN(Table1[Concat])</f>
        <v>26</v>
      </c>
    </row>
    <row r="16" spans="1:15" x14ac:dyDescent="0.3">
      <c r="A16" s="4">
        <v>15</v>
      </c>
      <c r="B16" s="2">
        <v>0</v>
      </c>
      <c r="C16" s="2">
        <v>2</v>
      </c>
      <c r="D16" s="2" t="s">
        <v>21</v>
      </c>
      <c r="E16" s="2">
        <v>14</v>
      </c>
      <c r="F16" s="2" t="s">
        <v>6</v>
      </c>
      <c r="G16" s="2">
        <v>0</v>
      </c>
      <c r="H16" s="2">
        <v>0</v>
      </c>
      <c r="I16" s="3">
        <v>7.8541999999999996</v>
      </c>
      <c r="J16" s="5" t="s">
        <v>4</v>
      </c>
      <c r="K16" s="2" t="str">
        <f>IF(Table1[[#This Row],[Age]]&gt;18,"Adult","Child")</f>
        <v>Child</v>
      </c>
      <c r="L16" s="2" t="s">
        <v>63</v>
      </c>
      <c r="M16" s="2" t="s">
        <v>64</v>
      </c>
      <c r="N16" s="2" t="str">
        <f>_xlfn.CONCAT(Table1[[#This Row],[Column1]],Table1[[#This Row],[Column2]])</f>
        <v>Vestrom Miss. Hulda Amanda</v>
      </c>
      <c r="O16" s="2">
        <f>LEN(Table1[Concat])</f>
        <v>26</v>
      </c>
    </row>
    <row r="17" spans="1:15" x14ac:dyDescent="0.3">
      <c r="A17" s="4">
        <v>16</v>
      </c>
      <c r="B17" s="2">
        <v>1</v>
      </c>
      <c r="C17" s="2">
        <v>2</v>
      </c>
      <c r="D17" s="2" t="s">
        <v>22</v>
      </c>
      <c r="E17" s="2">
        <v>55</v>
      </c>
      <c r="F17" s="2" t="s">
        <v>6</v>
      </c>
      <c r="G17" s="2">
        <v>0</v>
      </c>
      <c r="H17" s="2">
        <v>0</v>
      </c>
      <c r="I17" s="3">
        <v>16</v>
      </c>
      <c r="J17" s="5" t="s">
        <v>4</v>
      </c>
      <c r="K17" s="2" t="str">
        <f>IF(Table1[[#This Row],[Age]]&gt;18,"Adult","Child")</f>
        <v>Adult</v>
      </c>
      <c r="L17" s="2" t="s">
        <v>65</v>
      </c>
      <c r="M17" s="2" t="s">
        <v>66</v>
      </c>
      <c r="N17" s="2" t="str">
        <f>_xlfn.CONCAT(Table1[[#This Row],[Column1]],Table1[[#This Row],[Column2]])</f>
        <v>Hewlett Mrs. (Mary D Kingcome)</v>
      </c>
      <c r="O17" s="2">
        <f>LEN(Table1[Concat])</f>
        <v>30</v>
      </c>
    </row>
    <row r="18" spans="1:15" x14ac:dyDescent="0.3">
      <c r="A18" s="4">
        <v>17</v>
      </c>
      <c r="B18" s="2">
        <v>0</v>
      </c>
      <c r="C18" s="2">
        <v>3</v>
      </c>
      <c r="D18" s="2" t="s">
        <v>23</v>
      </c>
      <c r="E18" s="2">
        <v>2</v>
      </c>
      <c r="F18" s="2" t="s">
        <v>3</v>
      </c>
      <c r="G18" s="2">
        <v>4</v>
      </c>
      <c r="H18" s="2">
        <v>1</v>
      </c>
      <c r="I18" s="3">
        <v>29.125</v>
      </c>
      <c r="J18" s="5" t="s">
        <v>12</v>
      </c>
      <c r="K18" s="2" t="str">
        <f>IF(Table1[[#This Row],[Age]]&gt;18,"Adult","Child")</f>
        <v>Child</v>
      </c>
      <c r="L18" s="2" t="s">
        <v>67</v>
      </c>
      <c r="M18" s="2" t="s">
        <v>68</v>
      </c>
      <c r="N18" s="2" t="str">
        <f>_xlfn.CONCAT(Table1[[#This Row],[Column1]],Table1[[#This Row],[Column2]])</f>
        <v>Rice Master. Eugene</v>
      </c>
      <c r="O18" s="2">
        <f>LEN(Table1[Concat])</f>
        <v>19</v>
      </c>
    </row>
    <row r="19" spans="1:15" x14ac:dyDescent="0.3">
      <c r="A19" s="4">
        <v>18</v>
      </c>
      <c r="B19" s="2">
        <v>1</v>
      </c>
      <c r="C19" s="2">
        <v>2</v>
      </c>
      <c r="D19" s="2" t="s">
        <v>24</v>
      </c>
      <c r="E19" s="2">
        <v>27</v>
      </c>
      <c r="F19" s="2" t="s">
        <v>3</v>
      </c>
      <c r="G19" s="2">
        <v>0</v>
      </c>
      <c r="H19" s="2">
        <v>0</v>
      </c>
      <c r="I19" s="3">
        <v>13</v>
      </c>
      <c r="J19" s="5" t="s">
        <v>4</v>
      </c>
      <c r="K19" s="2" t="str">
        <f>IF(Table1[[#This Row],[Age]]&gt;18,"Adult","Child")</f>
        <v>Adult</v>
      </c>
      <c r="L19" s="2" t="s">
        <v>69</v>
      </c>
      <c r="M19" s="2" t="s">
        <v>70</v>
      </c>
      <c r="N19" s="2" t="str">
        <f>_xlfn.CONCAT(Table1[[#This Row],[Column1]],Table1[[#This Row],[Column2]])</f>
        <v>Williams Mr. Charles Eugene</v>
      </c>
      <c r="O19" s="2">
        <f>LEN(Table1[Concat])</f>
        <v>27</v>
      </c>
    </row>
    <row r="20" spans="1:15" x14ac:dyDescent="0.3">
      <c r="A20" s="4">
        <v>19</v>
      </c>
      <c r="B20" s="2">
        <v>0</v>
      </c>
      <c r="C20" s="2">
        <v>3</v>
      </c>
      <c r="D20" s="2" t="s">
        <v>25</v>
      </c>
      <c r="E20" s="2">
        <v>31</v>
      </c>
      <c r="F20" s="2" t="s">
        <v>6</v>
      </c>
      <c r="G20" s="2">
        <v>1</v>
      </c>
      <c r="H20" s="2">
        <v>0</v>
      </c>
      <c r="I20" s="3">
        <v>18</v>
      </c>
      <c r="J20" s="5" t="s">
        <v>4</v>
      </c>
      <c r="K20" s="2" t="str">
        <f>IF(Table1[[#This Row],[Age]]&gt;18,"Adult","Child")</f>
        <v>Adult</v>
      </c>
      <c r="L20" s="2" t="s">
        <v>71</v>
      </c>
      <c r="M20" s="2" t="s">
        <v>72</v>
      </c>
      <c r="N20" s="2" t="str">
        <f>_xlfn.CONCAT(Table1[[#This Row],[Column1]],Table1[[#This Row],[Column2]])</f>
        <v>Vander Planke Mrs. Julius</v>
      </c>
      <c r="O20" s="2">
        <f>LEN(Table1[Concat])</f>
        <v>25</v>
      </c>
    </row>
    <row r="21" spans="1:15" x14ac:dyDescent="0.3">
      <c r="A21" s="9">
        <v>20</v>
      </c>
      <c r="B21" s="10">
        <v>1</v>
      </c>
      <c r="C21" s="10">
        <v>3</v>
      </c>
      <c r="D21" s="10" t="s">
        <v>26</v>
      </c>
      <c r="E21" s="10">
        <v>22</v>
      </c>
      <c r="F21" s="10" t="s">
        <v>6</v>
      </c>
      <c r="G21" s="10">
        <v>0</v>
      </c>
      <c r="H21" s="10">
        <v>0</v>
      </c>
      <c r="I21" s="11">
        <v>7.2249999999999996</v>
      </c>
      <c r="J21" s="12" t="s">
        <v>7</v>
      </c>
      <c r="K21" s="10" t="str">
        <f>IF(Table1[[#This Row],[Age]]&gt;18,"Adult","Child")</f>
        <v>Adult</v>
      </c>
      <c r="L21" s="2" t="s">
        <v>73</v>
      </c>
      <c r="M21" s="2" t="s">
        <v>74</v>
      </c>
      <c r="N21" s="2" t="str">
        <f>_xlfn.CONCAT(Table1[[#This Row],[Column1]],Table1[[#This Row],[Column2]])</f>
        <v>Masselmani Mrs. Fatima</v>
      </c>
      <c r="O21" s="2">
        <f>LEN(Table1[Concat])</f>
        <v>22</v>
      </c>
    </row>
    <row r="24" spans="1:15" x14ac:dyDescent="0.3">
      <c r="E24">
        <f>COUNTBLANK(Table1[#All])</f>
        <v>0</v>
      </c>
    </row>
    <row r="25" spans="1:15" x14ac:dyDescent="0.3">
      <c r="E25">
        <f>AVERAGE(Table1[Age])</f>
        <v>27.6</v>
      </c>
    </row>
    <row r="26" spans="1:15" x14ac:dyDescent="0.3">
      <c r="E26">
        <f>COUNTA(Table1[Passenger_ID])</f>
        <v>20</v>
      </c>
    </row>
    <row r="27" spans="1:15" x14ac:dyDescent="0.3">
      <c r="E27" s="1">
        <f>SUM(Table1[Fare])</f>
        <v>443.98739999999998</v>
      </c>
    </row>
    <row r="28" spans="1:15" x14ac:dyDescent="0.3">
      <c r="E28">
        <f>MIN(Table1[Age])</f>
        <v>2</v>
      </c>
    </row>
    <row r="29" spans="1:15" x14ac:dyDescent="0.3">
      <c r="E29">
        <f>MAX(Table1[Age])</f>
        <v>58</v>
      </c>
    </row>
    <row r="30" spans="1:15" x14ac:dyDescent="0.3">
      <c r="E30" t="str">
        <f>VLOOKUP(A11,Table1[],4,0)</f>
        <v>Nasser, Mrs. Nicholas</v>
      </c>
    </row>
    <row r="31" spans="1:15" x14ac:dyDescent="0.3">
      <c r="E31">
        <f>COUNTIF(Table1[Survived],0)</f>
        <v>10</v>
      </c>
    </row>
    <row r="32" spans="1:15" x14ac:dyDescent="0.3">
      <c r="E32">
        <f>SUMIF(Table1[Survived],1,Table1[Fare])</f>
        <v>252.98739999999998</v>
      </c>
    </row>
    <row r="33" spans="5:5" x14ac:dyDescent="0.3">
      <c r="E33">
        <f>AVERAGEIF(Table1[Survived],1,Table1[Age])</f>
        <v>30.6</v>
      </c>
    </row>
  </sheetData>
  <phoneticPr fontId="2" type="noConversion"/>
  <conditionalFormatting sqref="I2:I21">
    <cfRule type="cellIs" dxfId="0" priority="1" operator="greaterThan">
      <formula>25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Titanic 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Hasini Vasala</cp:lastModifiedBy>
  <dcterms:created xsi:type="dcterms:W3CDTF">2026-10-11T17:06:11Z</dcterms:created>
  <dcterms:modified xsi:type="dcterms:W3CDTF">2026-10-11T18:44:03Z</dcterms:modified>
</cp:coreProperties>
</file>