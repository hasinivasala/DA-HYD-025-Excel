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91901\Downloads\Excel Codegnan\"/>
    </mc:Choice>
  </mc:AlternateContent>
  <xr:revisionPtr revIDLastSave="0" documentId="13_ncr:1_{FA1EA3EE-DDA2-4512-9FF1-43A57070520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Student Data" sheetId="1" r:id="rId2"/>
  </sheets>
  <definedNames>
    <definedName name="_xlnm._FilterDatabase" localSheetId="1" hidden="1">'Student Data'!$A$1:$O$101</definedName>
  </definedNames>
  <calcPr calcId="191029"/>
  <pivotCaches>
    <pivotCache cacheId="12" r:id="rId3"/>
  </pivotCaches>
</workbook>
</file>

<file path=xl/calcChain.xml><?xml version="1.0" encoding="utf-8"?>
<calcChain xmlns="http://schemas.openxmlformats.org/spreadsheetml/2006/main">
  <c r="P103" i="1" l="1"/>
  <c r="P102" i="1"/>
  <c r="Q19" i="1"/>
  <c r="Q18" i="1"/>
  <c r="Q17" i="1"/>
  <c r="Q16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2" i="1"/>
  <c r="Q15" i="1"/>
  <c r="Q14" i="1"/>
  <c r="Q13" i="1"/>
  <c r="Q12" i="1"/>
  <c r="Q11" i="1"/>
  <c r="Q10" i="1"/>
</calcChain>
</file>

<file path=xl/sharedStrings.xml><?xml version="1.0" encoding="utf-8"?>
<sst xmlns="http://schemas.openxmlformats.org/spreadsheetml/2006/main" count="642" uniqueCount="239">
  <si>
    <t>Student ID</t>
  </si>
  <si>
    <t>Student Name</t>
  </si>
  <si>
    <t>Class</t>
  </si>
  <si>
    <t>Section</t>
  </si>
  <si>
    <t>Maths</t>
  </si>
  <si>
    <t>Science</t>
  </si>
  <si>
    <t>English</t>
  </si>
  <si>
    <t>Social</t>
  </si>
  <si>
    <t>Computer</t>
  </si>
  <si>
    <t>Total Marks</t>
  </si>
  <si>
    <t>Average Marks</t>
  </si>
  <si>
    <t>Grade</t>
  </si>
  <si>
    <t>Result</t>
  </si>
  <si>
    <t>Attendance %</t>
  </si>
  <si>
    <t>Attendance Status</t>
  </si>
  <si>
    <t>S001</t>
  </si>
  <si>
    <t>Aarav</t>
  </si>
  <si>
    <t>A</t>
  </si>
  <si>
    <t>B</t>
  </si>
  <si>
    <t>Pass</t>
  </si>
  <si>
    <t>Good</t>
  </si>
  <si>
    <t>S002</t>
  </si>
  <si>
    <t>Ananya</t>
  </si>
  <si>
    <t>S003</t>
  </si>
  <si>
    <t>Rahul</t>
  </si>
  <si>
    <t>C</t>
  </si>
  <si>
    <t>S004</t>
  </si>
  <si>
    <t>Priya</t>
  </si>
  <si>
    <t>S005</t>
  </si>
  <si>
    <t>Rohan</t>
  </si>
  <si>
    <t>S006</t>
  </si>
  <si>
    <t>Sneha</t>
  </si>
  <si>
    <t>S007</t>
  </si>
  <si>
    <t>Arjun</t>
  </si>
  <si>
    <t>S008</t>
  </si>
  <si>
    <t>Kavya</t>
  </si>
  <si>
    <t>S009</t>
  </si>
  <si>
    <t>Vikram</t>
  </si>
  <si>
    <t>Low</t>
  </si>
  <si>
    <t>S010</t>
  </si>
  <si>
    <t>Diya</t>
  </si>
  <si>
    <t>S011</t>
  </si>
  <si>
    <t>Kiran</t>
  </si>
  <si>
    <t>S012</t>
  </si>
  <si>
    <t>Meera</t>
  </si>
  <si>
    <t>S013</t>
  </si>
  <si>
    <t>Aditya</t>
  </si>
  <si>
    <t>S014</t>
  </si>
  <si>
    <t>Ishita</t>
  </si>
  <si>
    <t>S015</t>
  </si>
  <si>
    <t>Nikhil</t>
  </si>
  <si>
    <t>S016</t>
  </si>
  <si>
    <t>Pooja</t>
  </si>
  <si>
    <t>S017</t>
  </si>
  <si>
    <t>Varun</t>
  </si>
  <si>
    <t>S018</t>
  </si>
  <si>
    <t>Neha</t>
  </si>
  <si>
    <t>S019</t>
  </si>
  <si>
    <t>Manish</t>
  </si>
  <si>
    <t>S020</t>
  </si>
  <si>
    <t>Riya</t>
  </si>
  <si>
    <t>S021</t>
  </si>
  <si>
    <t>Sai</t>
  </si>
  <si>
    <t>S022</t>
  </si>
  <si>
    <t>Saanvi</t>
  </si>
  <si>
    <t>S023</t>
  </si>
  <si>
    <t>Ravi</t>
  </si>
  <si>
    <t>S024</t>
  </si>
  <si>
    <t>Keerthi</t>
  </si>
  <si>
    <t>S025</t>
  </si>
  <si>
    <t>Akash</t>
  </si>
  <si>
    <t>S026</t>
  </si>
  <si>
    <t>Nandini</t>
  </si>
  <si>
    <t>S027</t>
  </si>
  <si>
    <t>Harsha</t>
  </si>
  <si>
    <t>S028</t>
  </si>
  <si>
    <t>Lavanya</t>
  </si>
  <si>
    <t>S029</t>
  </si>
  <si>
    <t>Tejas</t>
  </si>
  <si>
    <t>S030</t>
  </si>
  <si>
    <t>Anjali</t>
  </si>
  <si>
    <t>S031</t>
  </si>
  <si>
    <t>Vivek</t>
  </si>
  <si>
    <t>S032</t>
  </si>
  <si>
    <t>Shreya</t>
  </si>
  <si>
    <t>S033</t>
  </si>
  <si>
    <t>Karthik</t>
  </si>
  <si>
    <t>S034</t>
  </si>
  <si>
    <t>Bhavya</t>
  </si>
  <si>
    <t>S035</t>
  </si>
  <si>
    <t>Rakesh</t>
  </si>
  <si>
    <t>S036</t>
  </si>
  <si>
    <t>Aditi</t>
  </si>
  <si>
    <t>S037</t>
  </si>
  <si>
    <t>Siddharth</t>
  </si>
  <si>
    <t>S038</t>
  </si>
  <si>
    <t>Madhuri</t>
  </si>
  <si>
    <t>S039</t>
  </si>
  <si>
    <t>Abhinav</t>
  </si>
  <si>
    <t>S040</t>
  </si>
  <si>
    <t>Tanvi</t>
  </si>
  <si>
    <t>S041</t>
  </si>
  <si>
    <t>Pranav</t>
  </si>
  <si>
    <t>S042</t>
  </si>
  <si>
    <t>Divya</t>
  </si>
  <si>
    <t>S043</t>
  </si>
  <si>
    <t>Yash</t>
  </si>
  <si>
    <t>S044</t>
  </si>
  <si>
    <t>Aishwarya</t>
  </si>
  <si>
    <t>S045</t>
  </si>
  <si>
    <t>Rohit</t>
  </si>
  <si>
    <t>S046</t>
  </si>
  <si>
    <t>Swathi</t>
  </si>
  <si>
    <t>S047</t>
  </si>
  <si>
    <t>Tarun</t>
  </si>
  <si>
    <t>S048</t>
  </si>
  <si>
    <t>Mounika</t>
  </si>
  <si>
    <t>S049</t>
  </si>
  <si>
    <t>Surya</t>
  </si>
  <si>
    <t>S050</t>
  </si>
  <si>
    <t>Harini</t>
  </si>
  <si>
    <t>S051</t>
  </si>
  <si>
    <t>Vamsi</t>
  </si>
  <si>
    <t>S052</t>
  </si>
  <si>
    <t>Pallavi</t>
  </si>
  <si>
    <t>S053</t>
  </si>
  <si>
    <t>Naveen</t>
  </si>
  <si>
    <t>S054</t>
  </si>
  <si>
    <t>Sravani</t>
  </si>
  <si>
    <t>S055</t>
  </si>
  <si>
    <t>Ajay</t>
  </si>
  <si>
    <t>S056</t>
  </si>
  <si>
    <t>Deepika</t>
  </si>
  <si>
    <t>S057</t>
  </si>
  <si>
    <t>Manoj</t>
  </si>
  <si>
    <t>S058</t>
  </si>
  <si>
    <t>Vaishnavi</t>
  </si>
  <si>
    <t>S059</t>
  </si>
  <si>
    <t>Chaitanya</t>
  </si>
  <si>
    <t>S060</t>
  </si>
  <si>
    <t>Sowmya</t>
  </si>
  <si>
    <t>S061</t>
  </si>
  <si>
    <t>S062</t>
  </si>
  <si>
    <t>Pavani</t>
  </si>
  <si>
    <t>S063</t>
  </si>
  <si>
    <t>Sai Kiran</t>
  </si>
  <si>
    <t>S064</t>
  </si>
  <si>
    <t>Tejaswini</t>
  </si>
  <si>
    <t>S065</t>
  </si>
  <si>
    <t>Abhishek</t>
  </si>
  <si>
    <t>S066</t>
  </si>
  <si>
    <t>Sindhu</t>
  </si>
  <si>
    <t>S067</t>
  </si>
  <si>
    <t>Lokesh</t>
  </si>
  <si>
    <t>S068</t>
  </si>
  <si>
    <t>Hema</t>
  </si>
  <si>
    <t>S069</t>
  </si>
  <si>
    <t>S070</t>
  </si>
  <si>
    <t>Bhavana</t>
  </si>
  <si>
    <t>S071</t>
  </si>
  <si>
    <t>Pradeep</t>
  </si>
  <si>
    <t>S072</t>
  </si>
  <si>
    <t>Reshma</t>
  </si>
  <si>
    <t>S073</t>
  </si>
  <si>
    <t>Nithin</t>
  </si>
  <si>
    <t>S074</t>
  </si>
  <si>
    <t>Anusha</t>
  </si>
  <si>
    <t>S075</t>
  </si>
  <si>
    <t>Sandeep</t>
  </si>
  <si>
    <t>S076</t>
  </si>
  <si>
    <t>Jyothi</t>
  </si>
  <si>
    <t>S077</t>
  </si>
  <si>
    <t>Mahesh</t>
  </si>
  <si>
    <t>S078</t>
  </si>
  <si>
    <t>Sirisha</t>
  </si>
  <si>
    <t>S079</t>
  </si>
  <si>
    <t>Vinay</t>
  </si>
  <si>
    <t>S080</t>
  </si>
  <si>
    <t>Kavitha</t>
  </si>
  <si>
    <t>S081</t>
  </si>
  <si>
    <t>Dinesh</t>
  </si>
  <si>
    <t>S082</t>
  </si>
  <si>
    <t>Swetha</t>
  </si>
  <si>
    <t>S083</t>
  </si>
  <si>
    <t>S084</t>
  </si>
  <si>
    <t>Harika</t>
  </si>
  <si>
    <t>S085</t>
  </si>
  <si>
    <t>Mohan</t>
  </si>
  <si>
    <t>S086</t>
  </si>
  <si>
    <t>Niharika</t>
  </si>
  <si>
    <t>S087</t>
  </si>
  <si>
    <t>Srinivas</t>
  </si>
  <si>
    <t>S088</t>
  </si>
  <si>
    <t>S089</t>
  </si>
  <si>
    <t>Gautham</t>
  </si>
  <si>
    <t>S090</t>
  </si>
  <si>
    <t>S091</t>
  </si>
  <si>
    <t>Raghu</t>
  </si>
  <si>
    <t>S092</t>
  </si>
  <si>
    <t>Manasa</t>
  </si>
  <si>
    <t>S093</t>
  </si>
  <si>
    <t>S094</t>
  </si>
  <si>
    <t>Keerthana</t>
  </si>
  <si>
    <t>S095</t>
  </si>
  <si>
    <t>S096</t>
  </si>
  <si>
    <t>Navya</t>
  </si>
  <si>
    <t>S097</t>
  </si>
  <si>
    <t>Aravind</t>
  </si>
  <si>
    <t>S098</t>
  </si>
  <si>
    <t>Sushmita</t>
  </si>
  <si>
    <t>S099</t>
  </si>
  <si>
    <t>Chandra</t>
  </si>
  <si>
    <t>S100</t>
  </si>
  <si>
    <t>Teena</t>
  </si>
  <si>
    <t>countblank</t>
  </si>
  <si>
    <t>average</t>
  </si>
  <si>
    <t>min</t>
  </si>
  <si>
    <t>max</t>
  </si>
  <si>
    <t>stddev</t>
  </si>
  <si>
    <t>corelation</t>
  </si>
  <si>
    <t>P/F</t>
  </si>
  <si>
    <t>countif</t>
  </si>
  <si>
    <t>averageif</t>
  </si>
  <si>
    <t>Row Labels</t>
  </si>
  <si>
    <t>Grand Total</t>
  </si>
  <si>
    <t>Sum of Total Marks</t>
  </si>
  <si>
    <t>Anil</t>
  </si>
  <si>
    <t>kumar</t>
  </si>
  <si>
    <t>shetty</t>
  </si>
  <si>
    <t>72-74</t>
  </si>
  <si>
    <t>75-77</t>
  </si>
  <si>
    <t>78-80</t>
  </si>
  <si>
    <t>81-83</t>
  </si>
  <si>
    <t>84-86</t>
  </si>
  <si>
    <t>87-89</t>
  </si>
  <si>
    <t>90-92</t>
  </si>
  <si>
    <t>93-95</t>
  </si>
  <si>
    <t>96-98</t>
  </si>
  <si>
    <t>99-101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</si>
</sst>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2" xfId="0" applyFill="1" applyBorder="1"/>
    <xf numFmtId="0" fontId="0" fillId="0" borderId="0" xfId="0" applyFill="1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136482939632545E-2"/>
          <c:y val="0.18560185185185185"/>
          <c:w val="0.87119685039370076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'Student Data'!$J$2:$J$101</c:f>
              <c:numCache>
                <c:formatCode>General</c:formatCode>
                <c:ptCount val="100"/>
                <c:pt idx="0">
                  <c:v>355</c:v>
                </c:pt>
                <c:pt idx="1">
                  <c:v>371</c:v>
                </c:pt>
                <c:pt idx="2">
                  <c:v>323</c:v>
                </c:pt>
                <c:pt idx="3">
                  <c:v>393</c:v>
                </c:pt>
                <c:pt idx="4">
                  <c:v>418</c:v>
                </c:pt>
                <c:pt idx="5">
                  <c:v>350</c:v>
                </c:pt>
                <c:pt idx="6">
                  <c:v>329</c:v>
                </c:pt>
                <c:pt idx="7">
                  <c:v>379</c:v>
                </c:pt>
                <c:pt idx="8">
                  <c:v>371</c:v>
                </c:pt>
                <c:pt idx="9">
                  <c:v>430</c:v>
                </c:pt>
                <c:pt idx="10">
                  <c:v>349</c:v>
                </c:pt>
                <c:pt idx="11">
                  <c:v>342</c:v>
                </c:pt>
                <c:pt idx="12">
                  <c:v>400</c:v>
                </c:pt>
                <c:pt idx="13">
                  <c:v>431</c:v>
                </c:pt>
                <c:pt idx="14">
                  <c:v>412</c:v>
                </c:pt>
                <c:pt idx="15">
                  <c:v>420</c:v>
                </c:pt>
                <c:pt idx="16">
                  <c:v>357</c:v>
                </c:pt>
                <c:pt idx="17">
                  <c:v>354</c:v>
                </c:pt>
                <c:pt idx="18">
                  <c:v>405</c:v>
                </c:pt>
                <c:pt idx="19">
                  <c:v>378</c:v>
                </c:pt>
                <c:pt idx="20">
                  <c:v>424</c:v>
                </c:pt>
                <c:pt idx="21">
                  <c:v>382</c:v>
                </c:pt>
                <c:pt idx="22">
                  <c:v>330</c:v>
                </c:pt>
                <c:pt idx="23">
                  <c:v>397</c:v>
                </c:pt>
                <c:pt idx="24">
                  <c:v>415</c:v>
                </c:pt>
                <c:pt idx="25">
                  <c:v>402</c:v>
                </c:pt>
                <c:pt idx="26">
                  <c:v>379</c:v>
                </c:pt>
                <c:pt idx="27">
                  <c:v>362</c:v>
                </c:pt>
                <c:pt idx="28">
                  <c:v>383</c:v>
                </c:pt>
                <c:pt idx="29">
                  <c:v>406</c:v>
                </c:pt>
                <c:pt idx="30">
                  <c:v>390</c:v>
                </c:pt>
                <c:pt idx="31">
                  <c:v>356</c:v>
                </c:pt>
                <c:pt idx="32">
                  <c:v>339</c:v>
                </c:pt>
                <c:pt idx="33">
                  <c:v>360</c:v>
                </c:pt>
                <c:pt idx="34">
                  <c:v>399</c:v>
                </c:pt>
                <c:pt idx="35">
                  <c:v>399</c:v>
                </c:pt>
                <c:pt idx="36">
                  <c:v>425</c:v>
                </c:pt>
                <c:pt idx="37">
                  <c:v>372</c:v>
                </c:pt>
                <c:pt idx="38">
                  <c:v>383</c:v>
                </c:pt>
                <c:pt idx="39">
                  <c:v>336</c:v>
                </c:pt>
                <c:pt idx="40">
                  <c:v>338</c:v>
                </c:pt>
                <c:pt idx="41">
                  <c:v>412</c:v>
                </c:pt>
                <c:pt idx="42">
                  <c:v>422</c:v>
                </c:pt>
                <c:pt idx="43">
                  <c:v>367</c:v>
                </c:pt>
                <c:pt idx="44">
                  <c:v>382</c:v>
                </c:pt>
                <c:pt idx="45">
                  <c:v>391</c:v>
                </c:pt>
                <c:pt idx="46">
                  <c:v>341</c:v>
                </c:pt>
                <c:pt idx="47">
                  <c:v>366</c:v>
                </c:pt>
                <c:pt idx="48">
                  <c:v>363</c:v>
                </c:pt>
                <c:pt idx="49">
                  <c:v>370</c:v>
                </c:pt>
                <c:pt idx="50">
                  <c:v>400</c:v>
                </c:pt>
                <c:pt idx="51">
                  <c:v>336</c:v>
                </c:pt>
                <c:pt idx="52">
                  <c:v>426</c:v>
                </c:pt>
                <c:pt idx="53">
                  <c:v>358</c:v>
                </c:pt>
                <c:pt idx="54">
                  <c:v>372</c:v>
                </c:pt>
                <c:pt idx="55">
                  <c:v>417</c:v>
                </c:pt>
                <c:pt idx="56">
                  <c:v>365</c:v>
                </c:pt>
                <c:pt idx="57">
                  <c:v>401</c:v>
                </c:pt>
                <c:pt idx="58">
                  <c:v>396</c:v>
                </c:pt>
                <c:pt idx="59">
                  <c:v>443</c:v>
                </c:pt>
                <c:pt idx="60">
                  <c:v>381</c:v>
                </c:pt>
                <c:pt idx="61">
                  <c:v>414</c:v>
                </c:pt>
                <c:pt idx="62">
                  <c:v>383</c:v>
                </c:pt>
                <c:pt idx="63">
                  <c:v>374</c:v>
                </c:pt>
                <c:pt idx="64">
                  <c:v>357</c:v>
                </c:pt>
                <c:pt idx="65">
                  <c:v>436</c:v>
                </c:pt>
                <c:pt idx="66">
                  <c:v>413</c:v>
                </c:pt>
                <c:pt idx="67">
                  <c:v>347</c:v>
                </c:pt>
                <c:pt idx="68">
                  <c:v>382</c:v>
                </c:pt>
                <c:pt idx="69">
                  <c:v>437</c:v>
                </c:pt>
                <c:pt idx="70">
                  <c:v>367</c:v>
                </c:pt>
                <c:pt idx="71">
                  <c:v>360</c:v>
                </c:pt>
                <c:pt idx="72">
                  <c:v>400</c:v>
                </c:pt>
                <c:pt idx="73">
                  <c:v>347</c:v>
                </c:pt>
                <c:pt idx="74">
                  <c:v>356</c:v>
                </c:pt>
                <c:pt idx="75">
                  <c:v>378</c:v>
                </c:pt>
                <c:pt idx="76">
                  <c:v>406</c:v>
                </c:pt>
                <c:pt idx="77">
                  <c:v>346</c:v>
                </c:pt>
                <c:pt idx="78">
                  <c:v>390</c:v>
                </c:pt>
                <c:pt idx="79">
                  <c:v>347</c:v>
                </c:pt>
                <c:pt idx="80">
                  <c:v>371</c:v>
                </c:pt>
                <c:pt idx="81">
                  <c:v>376</c:v>
                </c:pt>
                <c:pt idx="82">
                  <c:v>391</c:v>
                </c:pt>
                <c:pt idx="83">
                  <c:v>381</c:v>
                </c:pt>
                <c:pt idx="84">
                  <c:v>357</c:v>
                </c:pt>
                <c:pt idx="85">
                  <c:v>409</c:v>
                </c:pt>
                <c:pt idx="86">
                  <c:v>386</c:v>
                </c:pt>
                <c:pt idx="87">
                  <c:v>371</c:v>
                </c:pt>
                <c:pt idx="88">
                  <c:v>383</c:v>
                </c:pt>
                <c:pt idx="89">
                  <c:v>404</c:v>
                </c:pt>
                <c:pt idx="90">
                  <c:v>413</c:v>
                </c:pt>
                <c:pt idx="91">
                  <c:v>373</c:v>
                </c:pt>
                <c:pt idx="92">
                  <c:v>434</c:v>
                </c:pt>
                <c:pt idx="93">
                  <c:v>373</c:v>
                </c:pt>
                <c:pt idx="94">
                  <c:v>431</c:v>
                </c:pt>
                <c:pt idx="95">
                  <c:v>416</c:v>
                </c:pt>
                <c:pt idx="96">
                  <c:v>380</c:v>
                </c:pt>
                <c:pt idx="97">
                  <c:v>422</c:v>
                </c:pt>
                <c:pt idx="98">
                  <c:v>378</c:v>
                </c:pt>
                <c:pt idx="99">
                  <c:v>362</c:v>
                </c:pt>
              </c:numCache>
            </c:numRef>
          </c:xVal>
          <c:yVal>
            <c:numRef>
              <c:f>'Student Data'!$K$2:$K$101</c:f>
              <c:numCache>
                <c:formatCode>General</c:formatCode>
                <c:ptCount val="100"/>
                <c:pt idx="0">
                  <c:v>71</c:v>
                </c:pt>
                <c:pt idx="1">
                  <c:v>74.2</c:v>
                </c:pt>
                <c:pt idx="2">
                  <c:v>64.599999999999994</c:v>
                </c:pt>
                <c:pt idx="3">
                  <c:v>78.599999999999994</c:v>
                </c:pt>
                <c:pt idx="4">
                  <c:v>83.6</c:v>
                </c:pt>
                <c:pt idx="5">
                  <c:v>70</c:v>
                </c:pt>
                <c:pt idx="6">
                  <c:v>65.8</c:v>
                </c:pt>
                <c:pt idx="7">
                  <c:v>75.8</c:v>
                </c:pt>
                <c:pt idx="8">
                  <c:v>74.2</c:v>
                </c:pt>
                <c:pt idx="9">
                  <c:v>86</c:v>
                </c:pt>
                <c:pt idx="10">
                  <c:v>40</c:v>
                </c:pt>
                <c:pt idx="11">
                  <c:v>68.400000000000006</c:v>
                </c:pt>
                <c:pt idx="12">
                  <c:v>80</c:v>
                </c:pt>
                <c:pt idx="13">
                  <c:v>86.2</c:v>
                </c:pt>
                <c:pt idx="14">
                  <c:v>82.4</c:v>
                </c:pt>
                <c:pt idx="15">
                  <c:v>84</c:v>
                </c:pt>
                <c:pt idx="16">
                  <c:v>71.400000000000006</c:v>
                </c:pt>
                <c:pt idx="17">
                  <c:v>70.8</c:v>
                </c:pt>
                <c:pt idx="18">
                  <c:v>81</c:v>
                </c:pt>
                <c:pt idx="19">
                  <c:v>75.599999999999994</c:v>
                </c:pt>
                <c:pt idx="20">
                  <c:v>84.8</c:v>
                </c:pt>
                <c:pt idx="21">
                  <c:v>76.400000000000006</c:v>
                </c:pt>
                <c:pt idx="22">
                  <c:v>66</c:v>
                </c:pt>
                <c:pt idx="23">
                  <c:v>79.400000000000006</c:v>
                </c:pt>
                <c:pt idx="24">
                  <c:v>83</c:v>
                </c:pt>
                <c:pt idx="25">
                  <c:v>80.400000000000006</c:v>
                </c:pt>
                <c:pt idx="26">
                  <c:v>75.8</c:v>
                </c:pt>
                <c:pt idx="27">
                  <c:v>72.400000000000006</c:v>
                </c:pt>
                <c:pt idx="28">
                  <c:v>76.599999999999994</c:v>
                </c:pt>
                <c:pt idx="29">
                  <c:v>81.2</c:v>
                </c:pt>
                <c:pt idx="30">
                  <c:v>78</c:v>
                </c:pt>
                <c:pt idx="31">
                  <c:v>71.2</c:v>
                </c:pt>
                <c:pt idx="32">
                  <c:v>67.8</c:v>
                </c:pt>
                <c:pt idx="33">
                  <c:v>72</c:v>
                </c:pt>
                <c:pt idx="34">
                  <c:v>79.8</c:v>
                </c:pt>
                <c:pt idx="35">
                  <c:v>79.8</c:v>
                </c:pt>
                <c:pt idx="36">
                  <c:v>85</c:v>
                </c:pt>
                <c:pt idx="37">
                  <c:v>74.400000000000006</c:v>
                </c:pt>
                <c:pt idx="38">
                  <c:v>76.599999999999994</c:v>
                </c:pt>
                <c:pt idx="39">
                  <c:v>67.2</c:v>
                </c:pt>
                <c:pt idx="40">
                  <c:v>67.599999999999994</c:v>
                </c:pt>
                <c:pt idx="41">
                  <c:v>82.4</c:v>
                </c:pt>
                <c:pt idx="42">
                  <c:v>84.4</c:v>
                </c:pt>
                <c:pt idx="43">
                  <c:v>73.400000000000006</c:v>
                </c:pt>
                <c:pt idx="44">
                  <c:v>76.400000000000006</c:v>
                </c:pt>
                <c:pt idx="45">
                  <c:v>78.2</c:v>
                </c:pt>
                <c:pt idx="46">
                  <c:v>68.2</c:v>
                </c:pt>
                <c:pt idx="47">
                  <c:v>73.2</c:v>
                </c:pt>
                <c:pt idx="48">
                  <c:v>72.599999999999994</c:v>
                </c:pt>
                <c:pt idx="49">
                  <c:v>74</c:v>
                </c:pt>
                <c:pt idx="50">
                  <c:v>80</c:v>
                </c:pt>
                <c:pt idx="51">
                  <c:v>67.2</c:v>
                </c:pt>
                <c:pt idx="52">
                  <c:v>85.2</c:v>
                </c:pt>
                <c:pt idx="53">
                  <c:v>71.599999999999994</c:v>
                </c:pt>
                <c:pt idx="54">
                  <c:v>74.400000000000006</c:v>
                </c:pt>
                <c:pt idx="55">
                  <c:v>83.4</c:v>
                </c:pt>
                <c:pt idx="56">
                  <c:v>73</c:v>
                </c:pt>
                <c:pt idx="57">
                  <c:v>80.2</c:v>
                </c:pt>
                <c:pt idx="58">
                  <c:v>79.2</c:v>
                </c:pt>
                <c:pt idx="59">
                  <c:v>88.6</c:v>
                </c:pt>
                <c:pt idx="60">
                  <c:v>76.2</c:v>
                </c:pt>
                <c:pt idx="61">
                  <c:v>82.8</c:v>
                </c:pt>
                <c:pt idx="62">
                  <c:v>76.599999999999994</c:v>
                </c:pt>
                <c:pt idx="63">
                  <c:v>74.8</c:v>
                </c:pt>
                <c:pt idx="64">
                  <c:v>71.400000000000006</c:v>
                </c:pt>
                <c:pt idx="65">
                  <c:v>87.2</c:v>
                </c:pt>
                <c:pt idx="66">
                  <c:v>82.6</c:v>
                </c:pt>
                <c:pt idx="67">
                  <c:v>69.400000000000006</c:v>
                </c:pt>
                <c:pt idx="68">
                  <c:v>76.400000000000006</c:v>
                </c:pt>
                <c:pt idx="69">
                  <c:v>87.4</c:v>
                </c:pt>
                <c:pt idx="70">
                  <c:v>73.400000000000006</c:v>
                </c:pt>
                <c:pt idx="71">
                  <c:v>72</c:v>
                </c:pt>
                <c:pt idx="72">
                  <c:v>80</c:v>
                </c:pt>
                <c:pt idx="73">
                  <c:v>69.400000000000006</c:v>
                </c:pt>
                <c:pt idx="74">
                  <c:v>71.2</c:v>
                </c:pt>
                <c:pt idx="75">
                  <c:v>75.599999999999994</c:v>
                </c:pt>
                <c:pt idx="76">
                  <c:v>81.2</c:v>
                </c:pt>
                <c:pt idx="77">
                  <c:v>69.2</c:v>
                </c:pt>
                <c:pt idx="78">
                  <c:v>78</c:v>
                </c:pt>
                <c:pt idx="79">
                  <c:v>69.400000000000006</c:v>
                </c:pt>
                <c:pt idx="80">
                  <c:v>74.2</c:v>
                </c:pt>
                <c:pt idx="81">
                  <c:v>75.2</c:v>
                </c:pt>
                <c:pt idx="82">
                  <c:v>78.2</c:v>
                </c:pt>
                <c:pt idx="83">
                  <c:v>76.2</c:v>
                </c:pt>
                <c:pt idx="84">
                  <c:v>71.400000000000006</c:v>
                </c:pt>
                <c:pt idx="85">
                  <c:v>81.8</c:v>
                </c:pt>
                <c:pt idx="86">
                  <c:v>77.2</c:v>
                </c:pt>
                <c:pt idx="87">
                  <c:v>74.2</c:v>
                </c:pt>
                <c:pt idx="88">
                  <c:v>76.599999999999994</c:v>
                </c:pt>
                <c:pt idx="89">
                  <c:v>80.8</c:v>
                </c:pt>
                <c:pt idx="90">
                  <c:v>82.6</c:v>
                </c:pt>
                <c:pt idx="91">
                  <c:v>74.599999999999994</c:v>
                </c:pt>
                <c:pt idx="92">
                  <c:v>86.8</c:v>
                </c:pt>
                <c:pt idx="93">
                  <c:v>74.599999999999994</c:v>
                </c:pt>
                <c:pt idx="94">
                  <c:v>86.2</c:v>
                </c:pt>
                <c:pt idx="95">
                  <c:v>83.2</c:v>
                </c:pt>
                <c:pt idx="96">
                  <c:v>76</c:v>
                </c:pt>
                <c:pt idx="97">
                  <c:v>84.4</c:v>
                </c:pt>
                <c:pt idx="98">
                  <c:v>75.599999999999994</c:v>
                </c:pt>
                <c:pt idx="99">
                  <c:v>72.400000000000006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40-4AE9-BFE8-6B15912D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817599"/>
        <c:axId val="556393359"/>
      </c:scatterChart>
      <c:valAx>
        <c:axId val="554817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393359"/>
        <c:crosses val="autoZero"/>
        <c:crossBetween val="midCat"/>
      </c:valAx>
      <c:valAx>
        <c:axId val="55639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817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335280</xdr:colOff>
      <xdr:row>81</xdr:row>
      <xdr:rowOff>179070</xdr:rowOff>
    </xdr:from>
    <xdr:to>
      <xdr:col>25</xdr:col>
      <xdr:colOff>30480</xdr:colOff>
      <xdr:row>96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E2D649-64EB-6258-0E30-3C124558E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ala Gopikrishna" refreshedDate="46304.00332546296" createdVersion="8" refreshedVersion="8" minRefreshableVersion="3" recordCount="100" xr:uid="{30ABBFF5-22CC-47C6-B070-3AB488C053C3}">
  <cacheSource type="worksheet">
    <worksheetSource ref="A1:P101" sheet="Student Data"/>
  </cacheSource>
  <cacheFields count="16">
    <cacheField name="Student ID" numFmtId="0">
      <sharedItems/>
    </cacheField>
    <cacheField name="Student Name" numFmtId="0">
      <sharedItems count="93">
        <s v="Aarav"/>
        <s v="Ananya"/>
        <s v="Rahul"/>
        <s v="Priya"/>
        <s v="Rohan"/>
        <s v="Sneha"/>
        <s v="Arjun"/>
        <s v="Kavya"/>
        <s v="Vikram"/>
        <s v="Diya"/>
        <s v="Kiran"/>
        <s v="Meera"/>
        <s v="Aditya"/>
        <s v="Ishita"/>
        <s v="Nikhil"/>
        <s v="Pooja"/>
        <s v="Varun"/>
        <s v="Neha"/>
        <s v="Manish"/>
        <s v="Riya"/>
        <s v="Sai"/>
        <s v="Saanvi"/>
        <s v="Ravi"/>
        <s v="Keerthi"/>
        <s v="Akash"/>
        <s v="Nandini"/>
        <s v="Harsha"/>
        <s v="Lavanya"/>
        <s v="Tejas"/>
        <s v="Anjali"/>
        <s v="Vivek"/>
        <s v="Shreya"/>
        <s v="Karthik"/>
        <s v="Bhavya"/>
        <s v="Rakesh"/>
        <s v="Aditi"/>
        <s v="Siddharth"/>
        <s v="Madhuri"/>
        <s v="Abhinav"/>
        <s v="Tanvi"/>
        <s v="Pranav"/>
        <s v="Divya"/>
        <s v="Yash"/>
        <s v="Aishwarya"/>
        <s v="Rohit"/>
        <s v="Swathi"/>
        <s v="Tarun"/>
        <s v="Mounika"/>
        <s v="Surya"/>
        <s v="Harini"/>
        <s v="Vamsi"/>
        <s v="Pallavi"/>
        <s v="Naveen"/>
        <s v="Sravani"/>
        <s v="Ajay"/>
        <s v="Deepika"/>
        <s v="Manoj"/>
        <s v="Vaishnavi"/>
        <s v="Chaitanya"/>
        <s v="Sowmya"/>
        <s v="Pavani"/>
        <s v="Sai Kiran"/>
        <s v="Tejaswini"/>
        <s v="Abhishek"/>
        <s v="Sindhu"/>
        <s v="Lokesh"/>
        <s v="Hema"/>
        <s v="Bhavana"/>
        <s v="Pradeep"/>
        <s v="Reshma"/>
        <s v="Nithin"/>
        <s v="Anusha"/>
        <s v="Sandeep"/>
        <s v="Jyothi"/>
        <s v="Mahesh"/>
        <s v="Sirisha"/>
        <s v="Vinay"/>
        <s v="Kavitha"/>
        <s v="Dinesh"/>
        <s v="Swetha"/>
        <s v="Harika"/>
        <s v="Mohan"/>
        <s v="Niharika"/>
        <s v="Srinivas"/>
        <s v="Gautham"/>
        <s v="Raghu"/>
        <s v="Manasa"/>
        <s v="Keerthana"/>
        <s v="Navya"/>
        <s v="Aravind"/>
        <s v="Sushmita"/>
        <s v="Chandra"/>
        <s v="Teena"/>
      </sharedItems>
    </cacheField>
    <cacheField name="Class" numFmtId="0">
      <sharedItems containsSemiMixedTypes="0" containsString="0" containsNumber="1" containsInteger="1" minValue="10" maxValue="10"/>
    </cacheField>
    <cacheField name="Section" numFmtId="0">
      <sharedItems/>
    </cacheField>
    <cacheField name="Maths" numFmtId="0">
      <sharedItems containsSemiMixedTypes="0" containsString="0" containsNumber="1" containsInteger="1" minValue="55" maxValue="98"/>
    </cacheField>
    <cacheField name="Science" numFmtId="0">
      <sharedItems containsSemiMixedTypes="0" containsString="0" containsNumber="1" containsInteger="1" minValue="55" maxValue="98"/>
    </cacheField>
    <cacheField name="English" numFmtId="0">
      <sharedItems containsSemiMixedTypes="0" containsString="0" containsNumber="1" containsInteger="1" minValue="55" maxValue="98"/>
    </cacheField>
    <cacheField name="Social" numFmtId="0">
      <sharedItems containsSemiMixedTypes="0" containsString="0" containsNumber="1" containsInteger="1" minValue="55" maxValue="98"/>
    </cacheField>
    <cacheField name="Computer" numFmtId="0">
      <sharedItems containsSemiMixedTypes="0" containsString="0" containsNumber="1" containsInteger="1" minValue="55" maxValue="98"/>
    </cacheField>
    <cacheField name="Total Marks" numFmtId="0">
      <sharedItems containsSemiMixedTypes="0" containsString="0" containsNumber="1" containsInteger="1" minValue="323" maxValue="443"/>
    </cacheField>
    <cacheField name="Average Marks" numFmtId="0">
      <sharedItems containsSemiMixedTypes="0" containsString="0" containsNumber="1" minValue="40" maxValue="88.6"/>
    </cacheField>
    <cacheField name="Grade" numFmtId="0">
      <sharedItems count="3">
        <s v="B"/>
        <s v="C"/>
        <s v="A"/>
      </sharedItems>
    </cacheField>
    <cacheField name="Result" numFmtId="0">
      <sharedItems/>
    </cacheField>
    <cacheField name="Attendance %" numFmtId="0">
      <sharedItems containsSemiMixedTypes="0" containsString="0" containsNumber="1" containsInteger="1" minValue="72" maxValue="100" count="28">
        <n v="79"/>
        <n v="90"/>
        <n v="94"/>
        <n v="80"/>
        <n v="84"/>
        <n v="97"/>
        <n v="74"/>
        <n v="96"/>
        <n v="83"/>
        <n v="77"/>
        <n v="100"/>
        <n v="88"/>
        <n v="92"/>
        <n v="89"/>
        <n v="85"/>
        <n v="98"/>
        <n v="82"/>
        <n v="95"/>
        <n v="93"/>
        <n v="99"/>
        <n v="86"/>
        <n v="76"/>
        <n v="73"/>
        <n v="75"/>
        <n v="78"/>
        <n v="81"/>
        <n v="91"/>
        <n v="72"/>
      </sharedItems>
      <fieldGroup base="13">
        <rangePr startNum="72" endNum="100" groupInterval="3"/>
        <groupItems count="12">
          <s v="&lt;72"/>
          <s v="72-74"/>
          <s v="75-77"/>
          <s v="78-80"/>
          <s v="81-83"/>
          <s v="84-86"/>
          <s v="87-89"/>
          <s v="90-92"/>
          <s v="93-95"/>
          <s v="96-98"/>
          <s v="99-101"/>
          <s v="&gt;102"/>
        </groupItems>
      </fieldGroup>
    </cacheField>
    <cacheField name="Attendance Status" numFmtId="0">
      <sharedItems/>
    </cacheField>
    <cacheField name="P/F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S001"/>
    <x v="0"/>
    <n v="10"/>
    <s v="A"/>
    <n v="95"/>
    <n v="62"/>
    <n v="56"/>
    <n v="72"/>
    <n v="70"/>
    <n v="355"/>
    <n v="71"/>
    <x v="0"/>
    <s v="Pass"/>
    <x v="0"/>
    <s v="Good"/>
    <s v="Pass"/>
  </r>
  <r>
    <s v="S002"/>
    <x v="1"/>
    <n v="10"/>
    <s v="B"/>
    <n v="63"/>
    <n v="61"/>
    <n v="98"/>
    <n v="89"/>
    <n v="60"/>
    <n v="371"/>
    <n v="74.2"/>
    <x v="0"/>
    <s v="Pass"/>
    <x v="1"/>
    <s v="Good"/>
    <s v="Pass"/>
  </r>
  <r>
    <s v="S003"/>
    <x v="2"/>
    <n v="10"/>
    <s v="C"/>
    <n v="82"/>
    <n v="57"/>
    <n v="56"/>
    <n v="60"/>
    <n v="68"/>
    <n v="323"/>
    <n v="64.599999999999994"/>
    <x v="1"/>
    <s v="Pass"/>
    <x v="0"/>
    <s v="Good"/>
    <s v="Pass"/>
  </r>
  <r>
    <s v="S004"/>
    <x v="3"/>
    <n v="10"/>
    <s v="A"/>
    <n v="87"/>
    <n v="93"/>
    <n v="56"/>
    <n v="90"/>
    <n v="67"/>
    <n v="393"/>
    <n v="78.599999999999994"/>
    <x v="0"/>
    <s v="Pass"/>
    <x v="2"/>
    <s v="Good"/>
    <s v="Pass"/>
  </r>
  <r>
    <s v="S005"/>
    <x v="4"/>
    <n v="10"/>
    <s v="B"/>
    <n v="96"/>
    <n v="89"/>
    <n v="81"/>
    <n v="69"/>
    <n v="83"/>
    <n v="418"/>
    <n v="83.6"/>
    <x v="2"/>
    <s v="Pass"/>
    <x v="1"/>
    <s v="Good"/>
    <s v="Pass"/>
  </r>
  <r>
    <s v="S006"/>
    <x v="5"/>
    <n v="10"/>
    <s v="C"/>
    <n v="72"/>
    <n v="55"/>
    <n v="65"/>
    <n v="82"/>
    <n v="76"/>
    <n v="350"/>
    <n v="70"/>
    <x v="0"/>
    <s v="Pass"/>
    <x v="3"/>
    <s v="Good"/>
    <s v="Pass"/>
  </r>
  <r>
    <s v="S007"/>
    <x v="6"/>
    <n v="10"/>
    <s v="A"/>
    <n v="64"/>
    <n v="68"/>
    <n v="76"/>
    <n v="61"/>
    <n v="60"/>
    <n v="329"/>
    <n v="65.8"/>
    <x v="1"/>
    <s v="Pass"/>
    <x v="4"/>
    <s v="Good"/>
    <s v="Pass"/>
  </r>
  <r>
    <s v="S008"/>
    <x v="7"/>
    <n v="10"/>
    <s v="B"/>
    <n v="61"/>
    <n v="77"/>
    <n v="77"/>
    <n v="93"/>
    <n v="71"/>
    <n v="379"/>
    <n v="75.8"/>
    <x v="0"/>
    <s v="Pass"/>
    <x v="5"/>
    <s v="Good"/>
    <s v="Pass"/>
  </r>
  <r>
    <s v="S009"/>
    <x v="8"/>
    <n v="10"/>
    <s v="C"/>
    <n v="57"/>
    <n v="84"/>
    <n v="89"/>
    <n v="62"/>
    <n v="79"/>
    <n v="371"/>
    <n v="74.2"/>
    <x v="0"/>
    <s v="Pass"/>
    <x v="6"/>
    <s v="Low"/>
    <s v="Pass"/>
  </r>
  <r>
    <s v="S010"/>
    <x v="9"/>
    <n v="10"/>
    <s v="A"/>
    <n v="90"/>
    <n v="73"/>
    <n v="95"/>
    <n v="94"/>
    <n v="78"/>
    <n v="430"/>
    <n v="86"/>
    <x v="2"/>
    <s v="Pass"/>
    <x v="1"/>
    <s v="Good"/>
    <s v="Pass"/>
  </r>
  <r>
    <s v="S011"/>
    <x v="10"/>
    <n v="10"/>
    <s v="B"/>
    <n v="67"/>
    <n v="59"/>
    <n v="57"/>
    <n v="97"/>
    <n v="69"/>
    <n v="349"/>
    <n v="40"/>
    <x v="1"/>
    <s v="Pass"/>
    <x v="7"/>
    <s v="Good"/>
    <s v="Fail"/>
  </r>
  <r>
    <s v="S012"/>
    <x v="11"/>
    <n v="10"/>
    <s v="C"/>
    <n v="73"/>
    <n v="60"/>
    <n v="69"/>
    <n v="61"/>
    <n v="79"/>
    <n v="342"/>
    <n v="68.400000000000006"/>
    <x v="1"/>
    <s v="Pass"/>
    <x v="3"/>
    <s v="Good"/>
    <s v="Pass"/>
  </r>
  <r>
    <s v="S013"/>
    <x v="12"/>
    <n v="10"/>
    <s v="A"/>
    <n v="84"/>
    <n v="95"/>
    <n v="78"/>
    <n v="65"/>
    <n v="78"/>
    <n v="400"/>
    <n v="80"/>
    <x v="2"/>
    <s v="Pass"/>
    <x v="8"/>
    <s v="Good"/>
    <s v="Pass"/>
  </r>
  <r>
    <s v="S014"/>
    <x v="13"/>
    <n v="10"/>
    <s v="B"/>
    <n v="68"/>
    <n v="97"/>
    <n v="72"/>
    <n v="98"/>
    <n v="96"/>
    <n v="431"/>
    <n v="86.2"/>
    <x v="2"/>
    <s v="Pass"/>
    <x v="6"/>
    <s v="Low"/>
    <s v="Pass"/>
  </r>
  <r>
    <s v="S015"/>
    <x v="14"/>
    <n v="10"/>
    <s v="C"/>
    <n v="93"/>
    <n v="95"/>
    <n v="65"/>
    <n v="89"/>
    <n v="70"/>
    <n v="412"/>
    <n v="82.4"/>
    <x v="2"/>
    <s v="Pass"/>
    <x v="9"/>
    <s v="Good"/>
    <s v="Pass"/>
  </r>
  <r>
    <s v="S016"/>
    <x v="15"/>
    <n v="10"/>
    <s v="A"/>
    <n v="84"/>
    <n v="79"/>
    <n v="72"/>
    <n v="95"/>
    <n v="90"/>
    <n v="420"/>
    <n v="84"/>
    <x v="2"/>
    <s v="Pass"/>
    <x v="0"/>
    <s v="Good"/>
    <s v="Pass"/>
  </r>
  <r>
    <s v="S017"/>
    <x v="16"/>
    <n v="10"/>
    <s v="B"/>
    <n v="98"/>
    <n v="75"/>
    <n v="58"/>
    <n v="69"/>
    <n v="57"/>
    <n v="357"/>
    <n v="71.400000000000006"/>
    <x v="0"/>
    <s v="Pass"/>
    <x v="5"/>
    <s v="Good"/>
    <s v="Pass"/>
  </r>
  <r>
    <s v="S018"/>
    <x v="17"/>
    <n v="10"/>
    <s v="C"/>
    <n v="75"/>
    <n v="80"/>
    <n v="72"/>
    <n v="59"/>
    <n v="68"/>
    <n v="354"/>
    <n v="70.8"/>
    <x v="0"/>
    <s v="Pass"/>
    <x v="1"/>
    <s v="Good"/>
    <s v="Pass"/>
  </r>
  <r>
    <s v="S019"/>
    <x v="18"/>
    <n v="10"/>
    <s v="A"/>
    <n v="75"/>
    <n v="68"/>
    <n v="96"/>
    <n v="86"/>
    <n v="80"/>
    <n v="405"/>
    <n v="81"/>
    <x v="2"/>
    <s v="Pass"/>
    <x v="10"/>
    <s v="Good"/>
    <s v="Pass"/>
  </r>
  <r>
    <s v="S020"/>
    <x v="19"/>
    <n v="10"/>
    <s v="B"/>
    <n v="96"/>
    <n v="84"/>
    <n v="64"/>
    <n v="71"/>
    <n v="63"/>
    <n v="378"/>
    <n v="75.599999999999994"/>
    <x v="0"/>
    <s v="Pass"/>
    <x v="0"/>
    <s v="Good"/>
    <s v="Pass"/>
  </r>
  <r>
    <s v="S021"/>
    <x v="20"/>
    <n v="10"/>
    <s v="C"/>
    <n v="90"/>
    <n v="89"/>
    <n v="71"/>
    <n v="92"/>
    <n v="82"/>
    <n v="424"/>
    <n v="84.8"/>
    <x v="2"/>
    <s v="Pass"/>
    <x v="10"/>
    <s v="Good"/>
    <s v="Pass"/>
  </r>
  <r>
    <s v="S022"/>
    <x v="21"/>
    <n v="10"/>
    <s v="A"/>
    <n v="92"/>
    <n v="80"/>
    <n v="78"/>
    <n v="69"/>
    <n v="63"/>
    <n v="382"/>
    <n v="76.400000000000006"/>
    <x v="0"/>
    <s v="Pass"/>
    <x v="11"/>
    <s v="Good"/>
    <s v="Pass"/>
  </r>
  <r>
    <s v="S023"/>
    <x v="22"/>
    <n v="10"/>
    <s v="B"/>
    <n v="86"/>
    <n v="60"/>
    <n v="58"/>
    <n v="62"/>
    <n v="64"/>
    <n v="330"/>
    <n v="66"/>
    <x v="1"/>
    <s v="Pass"/>
    <x v="12"/>
    <s v="Good"/>
    <s v="Pass"/>
  </r>
  <r>
    <s v="S024"/>
    <x v="23"/>
    <n v="10"/>
    <s v="C"/>
    <n v="65"/>
    <n v="98"/>
    <n v="82"/>
    <n v="93"/>
    <n v="59"/>
    <n v="397"/>
    <n v="79.400000000000006"/>
    <x v="0"/>
    <s v="Pass"/>
    <x v="4"/>
    <s v="Good"/>
    <s v="Pass"/>
  </r>
  <r>
    <s v="S025"/>
    <x v="24"/>
    <n v="10"/>
    <s v="A"/>
    <n v="79"/>
    <n v="93"/>
    <n v="84"/>
    <n v="88"/>
    <n v="71"/>
    <n v="415"/>
    <n v="83"/>
    <x v="2"/>
    <s v="Pass"/>
    <x v="13"/>
    <s v="Good"/>
    <s v="Pass"/>
  </r>
  <r>
    <s v="S026"/>
    <x v="25"/>
    <n v="10"/>
    <s v="B"/>
    <n v="55"/>
    <n v="98"/>
    <n v="62"/>
    <n v="98"/>
    <n v="89"/>
    <n v="402"/>
    <n v="80.400000000000006"/>
    <x v="2"/>
    <s v="Pass"/>
    <x v="7"/>
    <s v="Good"/>
    <s v="Pass"/>
  </r>
  <r>
    <s v="S027"/>
    <x v="26"/>
    <n v="10"/>
    <s v="C"/>
    <n v="72"/>
    <n v="96"/>
    <n v="76"/>
    <n v="62"/>
    <n v="73"/>
    <n v="379"/>
    <n v="75.8"/>
    <x v="0"/>
    <s v="Pass"/>
    <x v="14"/>
    <s v="Good"/>
    <s v="Pass"/>
  </r>
  <r>
    <s v="S028"/>
    <x v="27"/>
    <n v="10"/>
    <s v="A"/>
    <n v="65"/>
    <n v="84"/>
    <n v="55"/>
    <n v="71"/>
    <n v="87"/>
    <n v="362"/>
    <n v="72.400000000000006"/>
    <x v="0"/>
    <s v="Pass"/>
    <x v="7"/>
    <s v="Good"/>
    <s v="Pass"/>
  </r>
  <r>
    <s v="S029"/>
    <x v="28"/>
    <n v="10"/>
    <s v="B"/>
    <n v="66"/>
    <n v="87"/>
    <n v="61"/>
    <n v="95"/>
    <n v="74"/>
    <n v="383"/>
    <n v="76.599999999999994"/>
    <x v="0"/>
    <s v="Pass"/>
    <x v="15"/>
    <s v="Good"/>
    <s v="Pass"/>
  </r>
  <r>
    <s v="S030"/>
    <x v="29"/>
    <n v="10"/>
    <s v="C"/>
    <n v="95"/>
    <n v="87"/>
    <n v="93"/>
    <n v="67"/>
    <n v="64"/>
    <n v="406"/>
    <n v="81.2"/>
    <x v="2"/>
    <s v="Pass"/>
    <x v="8"/>
    <s v="Good"/>
    <s v="Pass"/>
  </r>
  <r>
    <s v="S031"/>
    <x v="30"/>
    <n v="10"/>
    <s v="A"/>
    <n v="65"/>
    <n v="89"/>
    <n v="88"/>
    <n v="55"/>
    <n v="93"/>
    <n v="390"/>
    <n v="78"/>
    <x v="0"/>
    <s v="Pass"/>
    <x v="16"/>
    <s v="Good"/>
    <s v="Pass"/>
  </r>
  <r>
    <s v="S032"/>
    <x v="31"/>
    <n v="10"/>
    <s v="B"/>
    <n v="86"/>
    <n v="56"/>
    <n v="62"/>
    <n v="78"/>
    <n v="74"/>
    <n v="356"/>
    <n v="71.2"/>
    <x v="0"/>
    <s v="Pass"/>
    <x v="0"/>
    <s v="Good"/>
    <s v="Pass"/>
  </r>
  <r>
    <s v="S033"/>
    <x v="32"/>
    <n v="10"/>
    <s v="C"/>
    <n v="58"/>
    <n v="70"/>
    <n v="91"/>
    <n v="60"/>
    <n v="60"/>
    <n v="339"/>
    <n v="67.8"/>
    <x v="1"/>
    <s v="Pass"/>
    <x v="17"/>
    <s v="Good"/>
    <s v="Pass"/>
  </r>
  <r>
    <s v="S034"/>
    <x v="33"/>
    <n v="10"/>
    <s v="A"/>
    <n v="86"/>
    <n v="59"/>
    <n v="89"/>
    <n v="63"/>
    <n v="63"/>
    <n v="360"/>
    <n v="72"/>
    <x v="0"/>
    <s v="Pass"/>
    <x v="18"/>
    <s v="Good"/>
    <s v="Pass"/>
  </r>
  <r>
    <s v="S035"/>
    <x v="34"/>
    <n v="10"/>
    <s v="B"/>
    <n v="85"/>
    <n v="90"/>
    <n v="65"/>
    <n v="71"/>
    <n v="88"/>
    <n v="399"/>
    <n v="79.8"/>
    <x v="0"/>
    <s v="Pass"/>
    <x v="19"/>
    <s v="Good"/>
    <s v="Pass"/>
  </r>
  <r>
    <s v="S036"/>
    <x v="35"/>
    <n v="10"/>
    <s v="C"/>
    <n v="93"/>
    <n v="82"/>
    <n v="68"/>
    <n v="89"/>
    <n v="67"/>
    <n v="399"/>
    <n v="79.8"/>
    <x v="0"/>
    <s v="Pass"/>
    <x v="2"/>
    <s v="Good"/>
    <s v="Pass"/>
  </r>
  <r>
    <s v="S037"/>
    <x v="36"/>
    <n v="10"/>
    <s v="A"/>
    <n v="74"/>
    <n v="80"/>
    <n v="97"/>
    <n v="96"/>
    <n v="78"/>
    <n v="425"/>
    <n v="85"/>
    <x v="2"/>
    <s v="Pass"/>
    <x v="20"/>
    <s v="Good"/>
    <s v="Pass"/>
  </r>
  <r>
    <s v="S038"/>
    <x v="37"/>
    <n v="10"/>
    <s v="B"/>
    <n v="88"/>
    <n v="83"/>
    <n v="62"/>
    <n v="70"/>
    <n v="69"/>
    <n v="372"/>
    <n v="74.400000000000006"/>
    <x v="0"/>
    <s v="Pass"/>
    <x v="6"/>
    <s v="Low"/>
    <s v="Pass"/>
  </r>
  <r>
    <s v="S039"/>
    <x v="38"/>
    <n v="10"/>
    <s v="C"/>
    <n v="76"/>
    <n v="56"/>
    <n v="92"/>
    <n v="90"/>
    <n v="69"/>
    <n v="383"/>
    <n v="76.599999999999994"/>
    <x v="0"/>
    <s v="Pass"/>
    <x v="1"/>
    <s v="Good"/>
    <s v="Pass"/>
  </r>
  <r>
    <s v="S040"/>
    <x v="39"/>
    <n v="10"/>
    <s v="A"/>
    <n v="69"/>
    <n v="55"/>
    <n v="59"/>
    <n v="95"/>
    <n v="58"/>
    <n v="336"/>
    <n v="67.2"/>
    <x v="1"/>
    <s v="Pass"/>
    <x v="0"/>
    <s v="Good"/>
    <s v="Pass"/>
  </r>
  <r>
    <s v="S041"/>
    <x v="40"/>
    <n v="10"/>
    <s v="B"/>
    <n v="59"/>
    <n v="57"/>
    <n v="76"/>
    <n v="59"/>
    <n v="87"/>
    <n v="338"/>
    <n v="67.599999999999994"/>
    <x v="1"/>
    <s v="Pass"/>
    <x v="0"/>
    <s v="Good"/>
    <s v="Pass"/>
  </r>
  <r>
    <s v="S042"/>
    <x v="41"/>
    <n v="10"/>
    <s v="C"/>
    <n v="72"/>
    <n v="97"/>
    <n v="86"/>
    <n v="68"/>
    <n v="89"/>
    <n v="412"/>
    <n v="82.4"/>
    <x v="2"/>
    <s v="Pass"/>
    <x v="21"/>
    <s v="Good"/>
    <s v="Pass"/>
  </r>
  <r>
    <s v="S043"/>
    <x v="42"/>
    <n v="10"/>
    <s v="A"/>
    <n v="91"/>
    <n v="91"/>
    <n v="85"/>
    <n v="70"/>
    <n v="85"/>
    <n v="422"/>
    <n v="84.4"/>
    <x v="2"/>
    <s v="Pass"/>
    <x v="5"/>
    <s v="Good"/>
    <s v="Pass"/>
  </r>
  <r>
    <s v="S044"/>
    <x v="43"/>
    <n v="10"/>
    <s v="B"/>
    <n v="81"/>
    <n v="67"/>
    <n v="61"/>
    <n v="61"/>
    <n v="97"/>
    <n v="367"/>
    <n v="73.400000000000006"/>
    <x v="0"/>
    <s v="Pass"/>
    <x v="14"/>
    <s v="Good"/>
    <s v="Pass"/>
  </r>
  <r>
    <s v="S045"/>
    <x v="44"/>
    <n v="10"/>
    <s v="C"/>
    <n v="77"/>
    <n v="82"/>
    <n v="81"/>
    <n v="84"/>
    <n v="58"/>
    <n v="382"/>
    <n v="76.400000000000006"/>
    <x v="0"/>
    <s v="Pass"/>
    <x v="18"/>
    <s v="Good"/>
    <s v="Pass"/>
  </r>
  <r>
    <s v="S046"/>
    <x v="45"/>
    <n v="10"/>
    <s v="A"/>
    <n v="96"/>
    <n v="96"/>
    <n v="61"/>
    <n v="58"/>
    <n v="80"/>
    <n v="391"/>
    <n v="78.2"/>
    <x v="0"/>
    <s v="Pass"/>
    <x v="17"/>
    <s v="Good"/>
    <s v="Pass"/>
  </r>
  <r>
    <s v="S047"/>
    <x v="46"/>
    <n v="10"/>
    <s v="B"/>
    <n v="76"/>
    <n v="61"/>
    <n v="70"/>
    <n v="67"/>
    <n v="67"/>
    <n v="341"/>
    <n v="68.2"/>
    <x v="1"/>
    <s v="Pass"/>
    <x v="13"/>
    <s v="Good"/>
    <s v="Pass"/>
  </r>
  <r>
    <s v="S048"/>
    <x v="47"/>
    <n v="10"/>
    <s v="C"/>
    <n v="83"/>
    <n v="63"/>
    <n v="82"/>
    <n v="66"/>
    <n v="72"/>
    <n v="366"/>
    <n v="73.2"/>
    <x v="0"/>
    <s v="Pass"/>
    <x v="20"/>
    <s v="Good"/>
    <s v="Pass"/>
  </r>
  <r>
    <s v="S049"/>
    <x v="48"/>
    <n v="10"/>
    <s v="A"/>
    <n v="70"/>
    <n v="59"/>
    <n v="83"/>
    <n v="90"/>
    <n v="61"/>
    <n v="363"/>
    <n v="72.599999999999994"/>
    <x v="0"/>
    <s v="Pass"/>
    <x v="22"/>
    <s v="Low"/>
    <s v="Pass"/>
  </r>
  <r>
    <s v="S050"/>
    <x v="49"/>
    <n v="10"/>
    <s v="B"/>
    <n v="96"/>
    <n v="89"/>
    <n v="55"/>
    <n v="60"/>
    <n v="70"/>
    <n v="370"/>
    <n v="74"/>
    <x v="0"/>
    <s v="Pass"/>
    <x v="9"/>
    <s v="Good"/>
    <s v="Pass"/>
  </r>
  <r>
    <s v="S051"/>
    <x v="50"/>
    <n v="10"/>
    <s v="C"/>
    <n v="81"/>
    <n v="86"/>
    <n v="85"/>
    <n v="68"/>
    <n v="80"/>
    <n v="400"/>
    <n v="80"/>
    <x v="2"/>
    <s v="Pass"/>
    <x v="10"/>
    <s v="Good"/>
    <s v="Pass"/>
  </r>
  <r>
    <s v="S052"/>
    <x v="51"/>
    <n v="10"/>
    <s v="A"/>
    <n v="58"/>
    <n v="65"/>
    <n v="79"/>
    <n v="55"/>
    <n v="79"/>
    <n v="336"/>
    <n v="67.2"/>
    <x v="1"/>
    <s v="Pass"/>
    <x v="3"/>
    <s v="Good"/>
    <s v="Pass"/>
  </r>
  <r>
    <s v="S053"/>
    <x v="52"/>
    <n v="10"/>
    <s v="B"/>
    <n v="84"/>
    <n v="73"/>
    <n v="82"/>
    <n v="90"/>
    <n v="97"/>
    <n v="426"/>
    <n v="85.2"/>
    <x v="2"/>
    <s v="Pass"/>
    <x v="2"/>
    <s v="Good"/>
    <s v="Pass"/>
  </r>
  <r>
    <s v="S054"/>
    <x v="53"/>
    <n v="10"/>
    <s v="C"/>
    <n v="86"/>
    <n v="64"/>
    <n v="67"/>
    <n v="73"/>
    <n v="68"/>
    <n v="358"/>
    <n v="71.599999999999994"/>
    <x v="0"/>
    <s v="Pass"/>
    <x v="22"/>
    <s v="Low"/>
    <s v="Pass"/>
  </r>
  <r>
    <s v="S055"/>
    <x v="54"/>
    <n v="10"/>
    <s v="A"/>
    <n v="92"/>
    <n v="89"/>
    <n v="58"/>
    <n v="75"/>
    <n v="58"/>
    <n v="372"/>
    <n v="74.400000000000006"/>
    <x v="0"/>
    <s v="Pass"/>
    <x v="22"/>
    <s v="Low"/>
    <s v="Pass"/>
  </r>
  <r>
    <s v="S056"/>
    <x v="55"/>
    <n v="10"/>
    <s v="B"/>
    <n v="92"/>
    <n v="85"/>
    <n v="87"/>
    <n v="88"/>
    <n v="65"/>
    <n v="417"/>
    <n v="83.4"/>
    <x v="2"/>
    <s v="Pass"/>
    <x v="22"/>
    <s v="Low"/>
    <s v="Pass"/>
  </r>
  <r>
    <s v="S057"/>
    <x v="56"/>
    <n v="10"/>
    <s v="C"/>
    <n v="87"/>
    <n v="60"/>
    <n v="66"/>
    <n v="59"/>
    <n v="93"/>
    <n v="365"/>
    <n v="73"/>
    <x v="0"/>
    <s v="Pass"/>
    <x v="6"/>
    <s v="Low"/>
    <s v="Pass"/>
  </r>
  <r>
    <s v="S058"/>
    <x v="57"/>
    <n v="10"/>
    <s v="A"/>
    <n v="98"/>
    <n v="70"/>
    <n v="80"/>
    <n v="62"/>
    <n v="91"/>
    <n v="401"/>
    <n v="80.2"/>
    <x v="2"/>
    <s v="Pass"/>
    <x v="0"/>
    <s v="Good"/>
    <s v="Pass"/>
  </r>
  <r>
    <s v="S059"/>
    <x v="58"/>
    <n v="10"/>
    <s v="B"/>
    <n v="92"/>
    <n v="93"/>
    <n v="57"/>
    <n v="94"/>
    <n v="60"/>
    <n v="396"/>
    <n v="79.2"/>
    <x v="0"/>
    <s v="Pass"/>
    <x v="14"/>
    <s v="Good"/>
    <s v="Pass"/>
  </r>
  <r>
    <s v="S060"/>
    <x v="59"/>
    <n v="10"/>
    <s v="C"/>
    <n v="97"/>
    <n v="92"/>
    <n v="91"/>
    <n v="88"/>
    <n v="75"/>
    <n v="443"/>
    <n v="88.6"/>
    <x v="2"/>
    <s v="Pass"/>
    <x v="3"/>
    <s v="Good"/>
    <s v="Pass"/>
  </r>
  <r>
    <s v="S061"/>
    <x v="2"/>
    <n v="10"/>
    <s v="A"/>
    <n v="68"/>
    <n v="97"/>
    <n v="75"/>
    <n v="70"/>
    <n v="71"/>
    <n v="381"/>
    <n v="76.2"/>
    <x v="0"/>
    <s v="Pass"/>
    <x v="4"/>
    <s v="Good"/>
    <s v="Pass"/>
  </r>
  <r>
    <s v="S062"/>
    <x v="60"/>
    <n v="10"/>
    <s v="B"/>
    <n v="63"/>
    <n v="97"/>
    <n v="96"/>
    <n v="74"/>
    <n v="84"/>
    <n v="414"/>
    <n v="82.8"/>
    <x v="2"/>
    <s v="Pass"/>
    <x v="16"/>
    <s v="Good"/>
    <s v="Pass"/>
  </r>
  <r>
    <s v="S063"/>
    <x v="61"/>
    <n v="10"/>
    <s v="C"/>
    <n v="59"/>
    <n v="55"/>
    <n v="84"/>
    <n v="94"/>
    <n v="91"/>
    <n v="383"/>
    <n v="76.599999999999994"/>
    <x v="0"/>
    <s v="Pass"/>
    <x v="23"/>
    <s v="Good"/>
    <s v="Pass"/>
  </r>
  <r>
    <s v="S064"/>
    <x v="62"/>
    <n v="10"/>
    <s v="A"/>
    <n v="59"/>
    <n v="89"/>
    <n v="68"/>
    <n v="87"/>
    <n v="71"/>
    <n v="374"/>
    <n v="74.8"/>
    <x v="0"/>
    <s v="Pass"/>
    <x v="21"/>
    <s v="Good"/>
    <s v="Pass"/>
  </r>
  <r>
    <s v="S065"/>
    <x v="63"/>
    <n v="10"/>
    <s v="B"/>
    <n v="77"/>
    <n v="59"/>
    <n v="70"/>
    <n v="78"/>
    <n v="73"/>
    <n v="357"/>
    <n v="71.400000000000006"/>
    <x v="0"/>
    <s v="Pass"/>
    <x v="9"/>
    <s v="Good"/>
    <s v="Pass"/>
  </r>
  <r>
    <s v="S066"/>
    <x v="64"/>
    <n v="10"/>
    <s v="C"/>
    <n v="83"/>
    <n v="89"/>
    <n v="74"/>
    <n v="94"/>
    <n v="96"/>
    <n v="436"/>
    <n v="87.2"/>
    <x v="2"/>
    <s v="Pass"/>
    <x v="11"/>
    <s v="Good"/>
    <s v="Pass"/>
  </r>
  <r>
    <s v="S067"/>
    <x v="65"/>
    <n v="10"/>
    <s v="A"/>
    <n v="55"/>
    <n v="97"/>
    <n v="90"/>
    <n v="74"/>
    <n v="97"/>
    <n v="413"/>
    <n v="82.6"/>
    <x v="2"/>
    <s v="Pass"/>
    <x v="23"/>
    <s v="Good"/>
    <s v="Pass"/>
  </r>
  <r>
    <s v="S068"/>
    <x v="66"/>
    <n v="10"/>
    <s v="B"/>
    <n v="63"/>
    <n v="71"/>
    <n v="62"/>
    <n v="61"/>
    <n v="90"/>
    <n v="347"/>
    <n v="69.400000000000006"/>
    <x v="1"/>
    <s v="Pass"/>
    <x v="21"/>
    <s v="Good"/>
    <s v="Pass"/>
  </r>
  <r>
    <s v="S069"/>
    <x v="16"/>
    <n v="10"/>
    <s v="C"/>
    <n v="72"/>
    <n v="73"/>
    <n v="93"/>
    <n v="68"/>
    <n v="76"/>
    <n v="382"/>
    <n v="76.400000000000006"/>
    <x v="0"/>
    <s v="Pass"/>
    <x v="24"/>
    <s v="Good"/>
    <s v="Pass"/>
  </r>
  <r>
    <s v="S070"/>
    <x v="67"/>
    <n v="10"/>
    <s v="A"/>
    <n v="98"/>
    <n v="95"/>
    <n v="71"/>
    <n v="87"/>
    <n v="86"/>
    <n v="437"/>
    <n v="87.4"/>
    <x v="2"/>
    <s v="Pass"/>
    <x v="3"/>
    <s v="Good"/>
    <s v="Pass"/>
  </r>
  <r>
    <s v="S071"/>
    <x v="68"/>
    <n v="10"/>
    <s v="B"/>
    <n v="58"/>
    <n v="60"/>
    <n v="95"/>
    <n v="82"/>
    <n v="72"/>
    <n v="367"/>
    <n v="73.400000000000006"/>
    <x v="0"/>
    <s v="Pass"/>
    <x v="22"/>
    <s v="Low"/>
    <s v="Pass"/>
  </r>
  <r>
    <s v="S072"/>
    <x v="69"/>
    <n v="10"/>
    <s v="C"/>
    <n v="55"/>
    <n v="76"/>
    <n v="63"/>
    <n v="95"/>
    <n v="71"/>
    <n v="360"/>
    <n v="72"/>
    <x v="0"/>
    <s v="Pass"/>
    <x v="9"/>
    <s v="Good"/>
    <s v="Pass"/>
  </r>
  <r>
    <s v="S073"/>
    <x v="70"/>
    <n v="10"/>
    <s v="A"/>
    <n v="83"/>
    <n v="90"/>
    <n v="82"/>
    <n v="90"/>
    <n v="55"/>
    <n v="400"/>
    <n v="80"/>
    <x v="2"/>
    <s v="Pass"/>
    <x v="23"/>
    <s v="Good"/>
    <s v="Pass"/>
  </r>
  <r>
    <s v="S074"/>
    <x v="71"/>
    <n v="10"/>
    <s v="B"/>
    <n v="59"/>
    <n v="64"/>
    <n v="89"/>
    <n v="57"/>
    <n v="78"/>
    <n v="347"/>
    <n v="69.400000000000006"/>
    <x v="1"/>
    <s v="Pass"/>
    <x v="1"/>
    <s v="Good"/>
    <s v="Pass"/>
  </r>
  <r>
    <s v="S075"/>
    <x v="72"/>
    <n v="10"/>
    <s v="C"/>
    <n v="90"/>
    <n v="64"/>
    <n v="82"/>
    <n v="63"/>
    <n v="57"/>
    <n v="356"/>
    <n v="71.2"/>
    <x v="0"/>
    <s v="Pass"/>
    <x v="25"/>
    <s v="Good"/>
    <s v="Pass"/>
  </r>
  <r>
    <s v="S076"/>
    <x v="73"/>
    <n v="10"/>
    <s v="A"/>
    <n v="78"/>
    <n v="57"/>
    <n v="77"/>
    <n v="68"/>
    <n v="98"/>
    <n v="378"/>
    <n v="75.599999999999994"/>
    <x v="0"/>
    <s v="Pass"/>
    <x v="0"/>
    <s v="Good"/>
    <s v="Pass"/>
  </r>
  <r>
    <s v="S077"/>
    <x v="74"/>
    <n v="10"/>
    <s v="B"/>
    <n v="97"/>
    <n v="61"/>
    <n v="77"/>
    <n v="90"/>
    <n v="81"/>
    <n v="406"/>
    <n v="81.2"/>
    <x v="2"/>
    <s v="Pass"/>
    <x v="26"/>
    <s v="Good"/>
    <s v="Pass"/>
  </r>
  <r>
    <s v="S078"/>
    <x v="75"/>
    <n v="10"/>
    <s v="C"/>
    <n v="64"/>
    <n v="70"/>
    <n v="65"/>
    <n v="66"/>
    <n v="81"/>
    <n v="346"/>
    <n v="69.2"/>
    <x v="1"/>
    <s v="Pass"/>
    <x v="27"/>
    <s v="Low"/>
    <s v="Pass"/>
  </r>
  <r>
    <s v="S079"/>
    <x v="76"/>
    <n v="10"/>
    <s v="A"/>
    <n v="66"/>
    <n v="76"/>
    <n v="81"/>
    <n v="97"/>
    <n v="70"/>
    <n v="390"/>
    <n v="78"/>
    <x v="0"/>
    <s v="Pass"/>
    <x v="3"/>
    <s v="Good"/>
    <s v="Pass"/>
  </r>
  <r>
    <s v="S080"/>
    <x v="77"/>
    <n v="10"/>
    <s v="B"/>
    <n v="65"/>
    <n v="61"/>
    <n v="79"/>
    <n v="57"/>
    <n v="85"/>
    <n v="347"/>
    <n v="69.400000000000006"/>
    <x v="1"/>
    <s v="Pass"/>
    <x v="0"/>
    <s v="Good"/>
    <s v="Pass"/>
  </r>
  <r>
    <s v="S081"/>
    <x v="78"/>
    <n v="10"/>
    <s v="C"/>
    <n v="67"/>
    <n v="84"/>
    <n v="77"/>
    <n v="74"/>
    <n v="69"/>
    <n v="371"/>
    <n v="74.2"/>
    <x v="0"/>
    <s v="Pass"/>
    <x v="0"/>
    <s v="Good"/>
    <s v="Pass"/>
  </r>
  <r>
    <s v="S082"/>
    <x v="79"/>
    <n v="10"/>
    <s v="A"/>
    <n v="56"/>
    <n v="97"/>
    <n v="67"/>
    <n v="80"/>
    <n v="76"/>
    <n v="376"/>
    <n v="75.2"/>
    <x v="0"/>
    <s v="Pass"/>
    <x v="3"/>
    <s v="Good"/>
    <s v="Pass"/>
  </r>
  <r>
    <s v="S083"/>
    <x v="34"/>
    <n v="10"/>
    <s v="B"/>
    <n v="59"/>
    <n v="72"/>
    <n v="77"/>
    <n v="96"/>
    <n v="87"/>
    <n v="391"/>
    <n v="78.2"/>
    <x v="0"/>
    <s v="Pass"/>
    <x v="4"/>
    <s v="Good"/>
    <s v="Pass"/>
  </r>
  <r>
    <s v="S084"/>
    <x v="80"/>
    <n v="10"/>
    <s v="C"/>
    <n v="98"/>
    <n v="89"/>
    <n v="76"/>
    <n v="56"/>
    <n v="62"/>
    <n v="381"/>
    <n v="76.2"/>
    <x v="0"/>
    <s v="Pass"/>
    <x v="10"/>
    <s v="Good"/>
    <s v="Pass"/>
  </r>
  <r>
    <s v="S085"/>
    <x v="81"/>
    <n v="10"/>
    <s v="A"/>
    <n v="71"/>
    <n v="66"/>
    <n v="92"/>
    <n v="71"/>
    <n v="57"/>
    <n v="357"/>
    <n v="71.400000000000006"/>
    <x v="0"/>
    <s v="Pass"/>
    <x v="23"/>
    <s v="Good"/>
    <s v="Pass"/>
  </r>
  <r>
    <s v="S086"/>
    <x v="82"/>
    <n v="10"/>
    <s v="B"/>
    <n v="93"/>
    <n v="82"/>
    <n v="77"/>
    <n v="75"/>
    <n v="82"/>
    <n v="409"/>
    <n v="81.8"/>
    <x v="2"/>
    <s v="Pass"/>
    <x v="26"/>
    <s v="Good"/>
    <s v="Pass"/>
  </r>
  <r>
    <s v="S087"/>
    <x v="83"/>
    <n v="10"/>
    <s v="C"/>
    <n v="87"/>
    <n v="62"/>
    <n v="79"/>
    <n v="91"/>
    <n v="67"/>
    <n v="386"/>
    <n v="77.2"/>
    <x v="0"/>
    <s v="Pass"/>
    <x v="3"/>
    <s v="Good"/>
    <s v="Pass"/>
  </r>
  <r>
    <s v="S088"/>
    <x v="71"/>
    <n v="10"/>
    <s v="A"/>
    <n v="57"/>
    <n v="82"/>
    <n v="55"/>
    <n v="88"/>
    <n v="89"/>
    <n v="371"/>
    <n v="74.2"/>
    <x v="0"/>
    <s v="Pass"/>
    <x v="18"/>
    <s v="Good"/>
    <s v="Pass"/>
  </r>
  <r>
    <s v="S089"/>
    <x v="84"/>
    <n v="10"/>
    <s v="B"/>
    <n v="97"/>
    <n v="67"/>
    <n v="78"/>
    <n v="82"/>
    <n v="59"/>
    <n v="383"/>
    <n v="76.599999999999994"/>
    <x v="0"/>
    <s v="Pass"/>
    <x v="18"/>
    <s v="Good"/>
    <s v="Pass"/>
  </r>
  <r>
    <s v="S090"/>
    <x v="15"/>
    <n v="10"/>
    <s v="C"/>
    <n v="76"/>
    <n v="94"/>
    <n v="75"/>
    <n v="97"/>
    <n v="62"/>
    <n v="404"/>
    <n v="80.8"/>
    <x v="2"/>
    <s v="Pass"/>
    <x v="17"/>
    <s v="Good"/>
    <s v="Pass"/>
  </r>
  <r>
    <s v="S091"/>
    <x v="85"/>
    <n v="10"/>
    <s v="A"/>
    <n v="74"/>
    <n v="87"/>
    <n v="74"/>
    <n v="97"/>
    <n v="81"/>
    <n v="413"/>
    <n v="82.6"/>
    <x v="2"/>
    <s v="Pass"/>
    <x v="16"/>
    <s v="Good"/>
    <s v="Pass"/>
  </r>
  <r>
    <s v="S092"/>
    <x v="86"/>
    <n v="10"/>
    <s v="B"/>
    <n v="80"/>
    <n v="73"/>
    <n v="90"/>
    <n v="63"/>
    <n v="67"/>
    <n v="373"/>
    <n v="74.599999999999994"/>
    <x v="0"/>
    <s v="Pass"/>
    <x v="14"/>
    <s v="Good"/>
    <s v="Pass"/>
  </r>
  <r>
    <s v="S093"/>
    <x v="10"/>
    <n v="10"/>
    <s v="C"/>
    <n v="97"/>
    <n v="79"/>
    <n v="98"/>
    <n v="66"/>
    <n v="94"/>
    <n v="434"/>
    <n v="86.8"/>
    <x v="2"/>
    <s v="Pass"/>
    <x v="1"/>
    <s v="Good"/>
    <s v="Pass"/>
  </r>
  <r>
    <s v="S094"/>
    <x v="87"/>
    <n v="10"/>
    <s v="A"/>
    <n v="74"/>
    <n v="80"/>
    <n v="90"/>
    <n v="55"/>
    <n v="74"/>
    <n v="373"/>
    <n v="74.599999999999994"/>
    <x v="0"/>
    <s v="Pass"/>
    <x v="25"/>
    <s v="Good"/>
    <s v="Pass"/>
  </r>
  <r>
    <s v="S095"/>
    <x v="22"/>
    <n v="10"/>
    <s v="B"/>
    <n v="68"/>
    <n v="82"/>
    <n v="92"/>
    <n v="93"/>
    <n v="96"/>
    <n v="431"/>
    <n v="86.2"/>
    <x v="2"/>
    <s v="Pass"/>
    <x v="16"/>
    <s v="Good"/>
    <s v="Pass"/>
  </r>
  <r>
    <s v="S096"/>
    <x v="88"/>
    <n v="10"/>
    <s v="C"/>
    <n v="84"/>
    <n v="83"/>
    <n v="83"/>
    <n v="98"/>
    <n v="68"/>
    <n v="416"/>
    <n v="83.2"/>
    <x v="2"/>
    <s v="Pass"/>
    <x v="11"/>
    <s v="Good"/>
    <s v="Pass"/>
  </r>
  <r>
    <s v="S097"/>
    <x v="89"/>
    <n v="10"/>
    <s v="A"/>
    <n v="85"/>
    <n v="65"/>
    <n v="97"/>
    <n v="60"/>
    <n v="73"/>
    <n v="380"/>
    <n v="76"/>
    <x v="0"/>
    <s v="Pass"/>
    <x v="11"/>
    <s v="Good"/>
    <s v="Pass"/>
  </r>
  <r>
    <s v="S098"/>
    <x v="90"/>
    <n v="10"/>
    <s v="B"/>
    <n v="97"/>
    <n v="95"/>
    <n v="94"/>
    <n v="76"/>
    <n v="60"/>
    <n v="422"/>
    <n v="84.4"/>
    <x v="2"/>
    <s v="Pass"/>
    <x v="15"/>
    <s v="Good"/>
    <s v="Pass"/>
  </r>
  <r>
    <s v="S099"/>
    <x v="91"/>
    <n v="10"/>
    <s v="C"/>
    <n v="70"/>
    <n v="98"/>
    <n v="74"/>
    <n v="69"/>
    <n v="67"/>
    <n v="378"/>
    <n v="75.599999999999994"/>
    <x v="0"/>
    <s v="Pass"/>
    <x v="21"/>
    <s v="Good"/>
    <s v="Pass"/>
  </r>
  <r>
    <s v="S100"/>
    <x v="92"/>
    <n v="10"/>
    <s v="A"/>
    <n v="56"/>
    <n v="57"/>
    <n v="70"/>
    <n v="85"/>
    <n v="94"/>
    <n v="362"/>
    <n v="72.400000000000006"/>
    <x v="0"/>
    <s v="Pass"/>
    <x v="19"/>
    <s v="Good"/>
    <s v="Pa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C923B-6FDB-4F67-A454-A54D5DB05E1A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6">
    <pivotField showAll="0"/>
    <pivotField showAll="0">
      <items count="94">
        <item x="0"/>
        <item x="38"/>
        <item x="63"/>
        <item x="35"/>
        <item x="12"/>
        <item x="43"/>
        <item x="54"/>
        <item x="24"/>
        <item x="1"/>
        <item x="29"/>
        <item x="71"/>
        <item x="89"/>
        <item x="6"/>
        <item x="67"/>
        <item x="33"/>
        <item x="58"/>
        <item x="91"/>
        <item x="55"/>
        <item x="78"/>
        <item x="41"/>
        <item x="9"/>
        <item x="84"/>
        <item x="80"/>
        <item x="49"/>
        <item x="26"/>
        <item x="66"/>
        <item x="13"/>
        <item x="73"/>
        <item x="32"/>
        <item x="77"/>
        <item x="7"/>
        <item x="87"/>
        <item x="23"/>
        <item x="10"/>
        <item x="27"/>
        <item x="65"/>
        <item x="37"/>
        <item x="74"/>
        <item x="86"/>
        <item x="18"/>
        <item x="56"/>
        <item x="11"/>
        <item x="81"/>
        <item x="47"/>
        <item x="25"/>
        <item x="52"/>
        <item x="88"/>
        <item x="17"/>
        <item x="82"/>
        <item x="14"/>
        <item x="70"/>
        <item x="51"/>
        <item x="60"/>
        <item x="15"/>
        <item x="68"/>
        <item x="40"/>
        <item x="3"/>
        <item x="85"/>
        <item x="2"/>
        <item x="34"/>
        <item x="22"/>
        <item x="69"/>
        <item x="19"/>
        <item x="4"/>
        <item x="44"/>
        <item x="21"/>
        <item x="20"/>
        <item x="61"/>
        <item x="72"/>
        <item x="31"/>
        <item x="36"/>
        <item x="64"/>
        <item x="75"/>
        <item x="5"/>
        <item x="59"/>
        <item x="53"/>
        <item x="83"/>
        <item x="48"/>
        <item x="90"/>
        <item x="45"/>
        <item x="79"/>
        <item x="39"/>
        <item x="46"/>
        <item x="92"/>
        <item x="28"/>
        <item x="62"/>
        <item x="57"/>
        <item x="50"/>
        <item x="16"/>
        <item x="8"/>
        <item x="76"/>
        <item x="30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multipleItemSelectionAllowed="1" showAll="0">
      <items count="4">
        <item x="2"/>
        <item x="0"/>
        <item x="1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</pivotFields>
  <rowFields count="1">
    <field x="13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Mark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6B45-35B4-441B-BB67-2C9E2E22E359}">
  <dimension ref="A3:B14"/>
  <sheetViews>
    <sheetView workbookViewId="0">
      <selection activeCell="E13" sqref="E13"/>
    </sheetView>
  </sheetViews>
  <sheetFormatPr defaultRowHeight="14.4" x14ac:dyDescent="0.3"/>
  <cols>
    <col min="1" max="1" width="12.5546875" bestFit="1" customWidth="1"/>
    <col min="2" max="2" width="17.5546875" bestFit="1" customWidth="1"/>
    <col min="3" max="3" width="19.33203125" bestFit="1" customWidth="1"/>
  </cols>
  <sheetData>
    <row r="3" spans="1:2" x14ac:dyDescent="0.3">
      <c r="A3" s="4" t="s">
        <v>223</v>
      </c>
      <c r="B3" t="s">
        <v>225</v>
      </c>
    </row>
    <row r="4" spans="1:2" x14ac:dyDescent="0.3">
      <c r="A4" s="5" t="s">
        <v>229</v>
      </c>
      <c r="B4" s="6">
        <v>3762</v>
      </c>
    </row>
    <row r="5" spans="1:2" x14ac:dyDescent="0.3">
      <c r="A5" s="5" t="s">
        <v>230</v>
      </c>
      <c r="B5" s="6">
        <v>4563</v>
      </c>
    </row>
    <row r="6" spans="1:2" x14ac:dyDescent="0.3">
      <c r="A6" s="5" t="s">
        <v>231</v>
      </c>
      <c r="B6" s="6">
        <v>7445</v>
      </c>
    </row>
    <row r="7" spans="1:2" x14ac:dyDescent="0.3">
      <c r="A7" s="5" t="s">
        <v>232</v>
      </c>
      <c r="B7" s="6">
        <v>3183</v>
      </c>
    </row>
    <row r="8" spans="1:2" x14ac:dyDescent="0.3">
      <c r="A8" s="5" t="s">
        <v>233</v>
      </c>
      <c r="B8" s="6">
        <v>3804</v>
      </c>
    </row>
    <row r="9" spans="1:2" x14ac:dyDescent="0.3">
      <c r="A9" s="5" t="s">
        <v>234</v>
      </c>
      <c r="B9" s="6">
        <v>2370</v>
      </c>
    </row>
    <row r="10" spans="1:2" x14ac:dyDescent="0.3">
      <c r="A10" s="5" t="s">
        <v>235</v>
      </c>
      <c r="B10" s="6">
        <v>3882</v>
      </c>
    </row>
    <row r="11" spans="1:2" x14ac:dyDescent="0.3">
      <c r="A11" s="5" t="s">
        <v>236</v>
      </c>
      <c r="B11" s="6">
        <v>3848</v>
      </c>
    </row>
    <row r="12" spans="1:2" x14ac:dyDescent="0.3">
      <c r="A12" s="5" t="s">
        <v>237</v>
      </c>
      <c r="B12" s="6">
        <v>3076</v>
      </c>
    </row>
    <row r="13" spans="1:2" x14ac:dyDescent="0.3">
      <c r="A13" s="5" t="s">
        <v>238</v>
      </c>
      <c r="B13" s="6">
        <v>2371</v>
      </c>
    </row>
    <row r="14" spans="1:2" x14ac:dyDescent="0.3">
      <c r="A14" s="5" t="s">
        <v>224</v>
      </c>
      <c r="B14" s="6">
        <v>38304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3"/>
  <sheetViews>
    <sheetView tabSelected="1" workbookViewId="0">
      <pane ySplit="1" topLeftCell="A26" activePane="bottomLeft" state="frozen"/>
      <selection pane="bottomLeft" activeCell="J106" sqref="J106"/>
    </sheetView>
  </sheetViews>
  <sheetFormatPr defaultRowHeight="14.4" x14ac:dyDescent="0.3"/>
  <cols>
    <col min="1" max="1" width="12" customWidth="1"/>
    <col min="2" max="2" width="14" customWidth="1"/>
    <col min="3" max="3" width="7" customWidth="1"/>
    <col min="4" max="4" width="9" customWidth="1"/>
    <col min="5" max="5" width="7" customWidth="1"/>
    <col min="6" max="7" width="9" customWidth="1"/>
    <col min="8" max="8" width="8" customWidth="1"/>
    <col min="9" max="9" width="10" customWidth="1"/>
    <col min="10" max="10" width="13" customWidth="1"/>
    <col min="11" max="11" width="15" customWidth="1"/>
    <col min="12" max="12" width="7" customWidth="1"/>
    <col min="13" max="13" width="8" customWidth="1"/>
    <col min="14" max="14" width="14" customWidth="1"/>
    <col min="15" max="15" width="19" customWidth="1"/>
    <col min="22" max="22" width="8.332031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220</v>
      </c>
    </row>
    <row r="2" spans="1:24" x14ac:dyDescent="0.3">
      <c r="A2" s="2" t="s">
        <v>15</v>
      </c>
      <c r="B2" s="2" t="s">
        <v>16</v>
      </c>
      <c r="C2" s="2">
        <v>10</v>
      </c>
      <c r="D2" s="2" t="s">
        <v>17</v>
      </c>
      <c r="E2" s="2">
        <v>95</v>
      </c>
      <c r="F2" s="2">
        <v>62</v>
      </c>
      <c r="G2" s="2">
        <v>56</v>
      </c>
      <c r="H2" s="2">
        <v>72</v>
      </c>
      <c r="I2" s="2">
        <v>70</v>
      </c>
      <c r="J2" s="2">
        <v>355</v>
      </c>
      <c r="K2" s="2">
        <v>71</v>
      </c>
      <c r="L2" s="2" t="s">
        <v>18</v>
      </c>
      <c r="M2" s="2" t="s">
        <v>19</v>
      </c>
      <c r="N2" s="2">
        <v>79</v>
      </c>
      <c r="O2" s="2" t="s">
        <v>20</v>
      </c>
      <c r="P2" s="2" t="str">
        <f>IF(K2&gt;40,"Pass","Fail")</f>
        <v>Pass</v>
      </c>
    </row>
    <row r="3" spans="1:24" x14ac:dyDescent="0.3">
      <c r="A3" s="2" t="s">
        <v>21</v>
      </c>
      <c r="B3" s="2" t="s">
        <v>22</v>
      </c>
      <c r="C3" s="2">
        <v>10</v>
      </c>
      <c r="D3" s="2" t="s">
        <v>18</v>
      </c>
      <c r="E3" s="2">
        <v>63</v>
      </c>
      <c r="F3" s="2">
        <v>61</v>
      </c>
      <c r="G3" s="2">
        <v>98</v>
      </c>
      <c r="H3" s="2">
        <v>89</v>
      </c>
      <c r="I3" s="2">
        <v>60</v>
      </c>
      <c r="J3" s="2">
        <v>371</v>
      </c>
      <c r="K3" s="2">
        <v>74.2</v>
      </c>
      <c r="L3" s="2" t="s">
        <v>18</v>
      </c>
      <c r="M3" s="2" t="s">
        <v>19</v>
      </c>
      <c r="N3" s="2">
        <v>90</v>
      </c>
      <c r="O3" s="2" t="s">
        <v>20</v>
      </c>
      <c r="P3" s="2" t="str">
        <f t="shared" ref="P3:P66" si="0">IF(K3&gt;40,"Pass","Fail")</f>
        <v>Pass</v>
      </c>
    </row>
    <row r="4" spans="1:24" x14ac:dyDescent="0.3">
      <c r="A4" s="2" t="s">
        <v>23</v>
      </c>
      <c r="B4" s="2" t="s">
        <v>24</v>
      </c>
      <c r="C4" s="2">
        <v>10</v>
      </c>
      <c r="D4" s="2" t="s">
        <v>25</v>
      </c>
      <c r="E4" s="2">
        <v>82</v>
      </c>
      <c r="F4" s="2">
        <v>57</v>
      </c>
      <c r="G4" s="2">
        <v>56</v>
      </c>
      <c r="H4" s="2">
        <v>60</v>
      </c>
      <c r="I4" s="2">
        <v>68</v>
      </c>
      <c r="J4" s="2">
        <v>323</v>
      </c>
      <c r="K4" s="2">
        <v>64.599999999999994</v>
      </c>
      <c r="L4" s="2" t="s">
        <v>25</v>
      </c>
      <c r="M4" s="2" t="s">
        <v>19</v>
      </c>
      <c r="N4" s="2">
        <v>79</v>
      </c>
      <c r="O4" s="2" t="s">
        <v>20</v>
      </c>
      <c r="P4" s="2" t="str">
        <f t="shared" si="0"/>
        <v>Pass</v>
      </c>
    </row>
    <row r="5" spans="1:24" x14ac:dyDescent="0.3">
      <c r="A5" s="2" t="s">
        <v>26</v>
      </c>
      <c r="B5" s="2" t="s">
        <v>27</v>
      </c>
      <c r="C5" s="2">
        <v>10</v>
      </c>
      <c r="D5" s="2" t="s">
        <v>17</v>
      </c>
      <c r="E5" s="2">
        <v>87</v>
      </c>
      <c r="F5" s="2">
        <v>93</v>
      </c>
      <c r="G5" s="2">
        <v>56</v>
      </c>
      <c r="H5" s="2">
        <v>90</v>
      </c>
      <c r="I5" s="2">
        <v>67</v>
      </c>
      <c r="J5" s="2">
        <v>393</v>
      </c>
      <c r="K5" s="2">
        <v>78.599999999999994</v>
      </c>
      <c r="L5" s="2" t="s">
        <v>18</v>
      </c>
      <c r="M5" s="2" t="s">
        <v>19</v>
      </c>
      <c r="N5" s="2">
        <v>94</v>
      </c>
      <c r="O5" s="2" t="s">
        <v>20</v>
      </c>
      <c r="P5" s="2" t="str">
        <f t="shared" si="0"/>
        <v>Pass</v>
      </c>
    </row>
    <row r="6" spans="1:24" x14ac:dyDescent="0.3">
      <c r="A6" s="2" t="s">
        <v>28</v>
      </c>
      <c r="B6" s="2" t="s">
        <v>29</v>
      </c>
      <c r="C6" s="2">
        <v>10</v>
      </c>
      <c r="D6" s="2" t="s">
        <v>18</v>
      </c>
      <c r="E6" s="2">
        <v>96</v>
      </c>
      <c r="F6" s="2">
        <v>89</v>
      </c>
      <c r="G6" s="2">
        <v>81</v>
      </c>
      <c r="H6" s="2">
        <v>69</v>
      </c>
      <c r="I6" s="2">
        <v>83</v>
      </c>
      <c r="J6" s="2">
        <v>418</v>
      </c>
      <c r="K6" s="2">
        <v>83.6</v>
      </c>
      <c r="L6" s="2" t="s">
        <v>17</v>
      </c>
      <c r="M6" s="2" t="s">
        <v>19</v>
      </c>
      <c r="N6" s="2">
        <v>90</v>
      </c>
      <c r="O6" s="2" t="s">
        <v>20</v>
      </c>
      <c r="P6" s="2" t="str">
        <f t="shared" si="0"/>
        <v>Pass</v>
      </c>
    </row>
    <row r="7" spans="1:24" x14ac:dyDescent="0.3">
      <c r="A7" s="2" t="s">
        <v>30</v>
      </c>
      <c r="B7" s="2" t="s">
        <v>31</v>
      </c>
      <c r="C7" s="2">
        <v>10</v>
      </c>
      <c r="D7" s="2" t="s">
        <v>25</v>
      </c>
      <c r="E7" s="2">
        <v>72</v>
      </c>
      <c r="F7" s="2">
        <v>55</v>
      </c>
      <c r="G7" s="2">
        <v>65</v>
      </c>
      <c r="H7" s="2">
        <v>82</v>
      </c>
      <c r="I7" s="2">
        <v>76</v>
      </c>
      <c r="J7" s="2">
        <v>350</v>
      </c>
      <c r="K7" s="2">
        <v>70</v>
      </c>
      <c r="L7" s="2" t="s">
        <v>18</v>
      </c>
      <c r="M7" s="2" t="s">
        <v>19</v>
      </c>
      <c r="N7" s="2">
        <v>80</v>
      </c>
      <c r="O7" s="2" t="s">
        <v>20</v>
      </c>
      <c r="P7" s="2" t="str">
        <f t="shared" si="0"/>
        <v>Pass</v>
      </c>
    </row>
    <row r="8" spans="1:24" x14ac:dyDescent="0.3">
      <c r="A8" s="2" t="s">
        <v>32</v>
      </c>
      <c r="B8" s="2" t="s">
        <v>33</v>
      </c>
      <c r="C8" s="2">
        <v>10</v>
      </c>
      <c r="D8" s="2" t="s">
        <v>17</v>
      </c>
      <c r="E8" s="2">
        <v>64</v>
      </c>
      <c r="F8" s="2">
        <v>68</v>
      </c>
      <c r="G8" s="2">
        <v>76</v>
      </c>
      <c r="H8" s="2">
        <v>61</v>
      </c>
      <c r="I8" s="2">
        <v>60</v>
      </c>
      <c r="J8" s="2">
        <v>329</v>
      </c>
      <c r="K8" s="2">
        <v>65.8</v>
      </c>
      <c r="L8" s="2" t="s">
        <v>25</v>
      </c>
      <c r="M8" s="2" t="s">
        <v>19</v>
      </c>
      <c r="N8" s="2">
        <v>84</v>
      </c>
      <c r="O8" s="2" t="s">
        <v>20</v>
      </c>
      <c r="P8" s="2" t="str">
        <f t="shared" si="0"/>
        <v>Pass</v>
      </c>
    </row>
    <row r="9" spans="1:24" x14ac:dyDescent="0.3">
      <c r="A9" s="2" t="s">
        <v>34</v>
      </c>
      <c r="B9" s="2" t="s">
        <v>35</v>
      </c>
      <c r="C9" s="2">
        <v>10</v>
      </c>
      <c r="D9" s="2" t="s">
        <v>18</v>
      </c>
      <c r="E9" s="2">
        <v>61</v>
      </c>
      <c r="F9" s="2">
        <v>77</v>
      </c>
      <c r="G9" s="2">
        <v>77</v>
      </c>
      <c r="H9" s="2">
        <v>93</v>
      </c>
      <c r="I9" s="2">
        <v>71</v>
      </c>
      <c r="J9" s="2">
        <v>379</v>
      </c>
      <c r="K9" s="2">
        <v>75.8</v>
      </c>
      <c r="L9" s="2" t="s">
        <v>18</v>
      </c>
      <c r="M9" s="2" t="s">
        <v>19</v>
      </c>
      <c r="N9" s="2">
        <v>97</v>
      </c>
      <c r="O9" s="2" t="s">
        <v>20</v>
      </c>
      <c r="P9" s="2" t="str">
        <f t="shared" si="0"/>
        <v>Pass</v>
      </c>
    </row>
    <row r="10" spans="1:24" x14ac:dyDescent="0.3">
      <c r="A10" s="2" t="s">
        <v>36</v>
      </c>
      <c r="B10" s="2" t="s">
        <v>37</v>
      </c>
      <c r="C10" s="2">
        <v>10</v>
      </c>
      <c r="D10" s="2" t="s">
        <v>25</v>
      </c>
      <c r="E10" s="2">
        <v>57</v>
      </c>
      <c r="F10" s="2">
        <v>84</v>
      </c>
      <c r="G10" s="2">
        <v>89</v>
      </c>
      <c r="H10" s="2">
        <v>62</v>
      </c>
      <c r="I10" s="2">
        <v>79</v>
      </c>
      <c r="J10" s="2">
        <v>371</v>
      </c>
      <c r="K10" s="2">
        <v>74.2</v>
      </c>
      <c r="L10" s="2" t="s">
        <v>18</v>
      </c>
      <c r="M10" s="2" t="s">
        <v>19</v>
      </c>
      <c r="N10" s="2">
        <v>74</v>
      </c>
      <c r="O10" s="2" t="s">
        <v>38</v>
      </c>
      <c r="P10" s="2" t="str">
        <f t="shared" si="0"/>
        <v>Pass</v>
      </c>
      <c r="Q10">
        <f>COUNTBLANK(A1:O101)</f>
        <v>0</v>
      </c>
      <c r="R10" t="s">
        <v>214</v>
      </c>
      <c r="V10" t="s">
        <v>226</v>
      </c>
      <c r="W10" t="s">
        <v>227</v>
      </c>
      <c r="X10" t="s">
        <v>228</v>
      </c>
    </row>
    <row r="11" spans="1:24" x14ac:dyDescent="0.3">
      <c r="A11" s="2" t="s">
        <v>39</v>
      </c>
      <c r="B11" s="2" t="s">
        <v>40</v>
      </c>
      <c r="C11" s="2">
        <v>10</v>
      </c>
      <c r="D11" s="2" t="s">
        <v>17</v>
      </c>
      <c r="E11" s="2">
        <v>90</v>
      </c>
      <c r="F11" s="2">
        <v>73</v>
      </c>
      <c r="G11" s="2">
        <v>95</v>
      </c>
      <c r="H11" s="2">
        <v>94</v>
      </c>
      <c r="I11" s="2">
        <v>78</v>
      </c>
      <c r="J11" s="2">
        <v>430</v>
      </c>
      <c r="K11" s="2">
        <v>86</v>
      </c>
      <c r="L11" s="2" t="s">
        <v>17</v>
      </c>
      <c r="M11" s="2" t="s">
        <v>19</v>
      </c>
      <c r="N11" s="2">
        <v>90</v>
      </c>
      <c r="O11" s="2" t="s">
        <v>20</v>
      </c>
      <c r="P11" s="2" t="str">
        <f t="shared" si="0"/>
        <v>Pass</v>
      </c>
      <c r="Q11">
        <f>AVERAGE(J2:J101)</f>
        <v>383.04</v>
      </c>
      <c r="R11" t="s">
        <v>215</v>
      </c>
    </row>
    <row r="12" spans="1:24" x14ac:dyDescent="0.3">
      <c r="A12" s="2" t="s">
        <v>41</v>
      </c>
      <c r="B12" s="2" t="s">
        <v>42</v>
      </c>
      <c r="C12" s="2">
        <v>10</v>
      </c>
      <c r="D12" s="2" t="s">
        <v>18</v>
      </c>
      <c r="E12" s="2">
        <v>67</v>
      </c>
      <c r="F12" s="2">
        <v>59</v>
      </c>
      <c r="G12" s="2">
        <v>57</v>
      </c>
      <c r="H12" s="2">
        <v>97</v>
      </c>
      <c r="I12" s="2">
        <v>69</v>
      </c>
      <c r="J12" s="2">
        <v>349</v>
      </c>
      <c r="K12" s="2">
        <v>40</v>
      </c>
      <c r="L12" s="2" t="s">
        <v>25</v>
      </c>
      <c r="M12" s="2" t="s">
        <v>19</v>
      </c>
      <c r="N12" s="2">
        <v>96</v>
      </c>
      <c r="O12" s="2" t="s">
        <v>20</v>
      </c>
      <c r="P12" s="2" t="str">
        <f t="shared" si="0"/>
        <v>Fail</v>
      </c>
      <c r="Q12">
        <f>MIN(J2:J101)</f>
        <v>323</v>
      </c>
      <c r="R12" t="s">
        <v>216</v>
      </c>
    </row>
    <row r="13" spans="1:24" x14ac:dyDescent="0.3">
      <c r="A13" s="2" t="s">
        <v>43</v>
      </c>
      <c r="B13" s="2" t="s">
        <v>44</v>
      </c>
      <c r="C13" s="2">
        <v>10</v>
      </c>
      <c r="D13" s="2" t="s">
        <v>25</v>
      </c>
      <c r="E13" s="2">
        <v>73</v>
      </c>
      <c r="F13" s="2">
        <v>60</v>
      </c>
      <c r="G13" s="2">
        <v>69</v>
      </c>
      <c r="H13" s="2">
        <v>61</v>
      </c>
      <c r="I13" s="2">
        <v>79</v>
      </c>
      <c r="J13" s="2">
        <v>342</v>
      </c>
      <c r="K13" s="2">
        <v>68.400000000000006</v>
      </c>
      <c r="L13" s="2" t="s">
        <v>25</v>
      </c>
      <c r="M13" s="2" t="s">
        <v>19</v>
      </c>
      <c r="N13" s="2">
        <v>80</v>
      </c>
      <c r="O13" s="2" t="s">
        <v>20</v>
      </c>
      <c r="P13" s="2" t="str">
        <f t="shared" si="0"/>
        <v>Pass</v>
      </c>
      <c r="Q13">
        <f>MAX(J2:J101)</f>
        <v>443</v>
      </c>
      <c r="R13" t="s">
        <v>217</v>
      </c>
    </row>
    <row r="14" spans="1:24" x14ac:dyDescent="0.3">
      <c r="A14" s="2" t="s">
        <v>45</v>
      </c>
      <c r="B14" s="2" t="s">
        <v>46</v>
      </c>
      <c r="C14" s="2">
        <v>10</v>
      </c>
      <c r="D14" s="2" t="s">
        <v>17</v>
      </c>
      <c r="E14" s="2">
        <v>84</v>
      </c>
      <c r="F14" s="2">
        <v>95</v>
      </c>
      <c r="G14" s="2">
        <v>78</v>
      </c>
      <c r="H14" s="2">
        <v>65</v>
      </c>
      <c r="I14" s="2">
        <v>78</v>
      </c>
      <c r="J14" s="2">
        <v>400</v>
      </c>
      <c r="K14" s="2">
        <v>80</v>
      </c>
      <c r="L14" s="2" t="s">
        <v>17</v>
      </c>
      <c r="M14" s="2" t="s">
        <v>19</v>
      </c>
      <c r="N14" s="2">
        <v>83</v>
      </c>
      <c r="O14" s="2" t="s">
        <v>20</v>
      </c>
      <c r="P14" s="2" t="str">
        <f t="shared" si="0"/>
        <v>Pass</v>
      </c>
      <c r="Q14">
        <f>_xlfn.STDEV.P(K75:K101)</f>
        <v>4.9487358267115917</v>
      </c>
      <c r="R14" t="s">
        <v>218</v>
      </c>
    </row>
    <row r="15" spans="1:24" x14ac:dyDescent="0.3">
      <c r="A15" s="2" t="s">
        <v>47</v>
      </c>
      <c r="B15" s="2" t="s">
        <v>48</v>
      </c>
      <c r="C15" s="2">
        <v>10</v>
      </c>
      <c r="D15" s="2" t="s">
        <v>18</v>
      </c>
      <c r="E15" s="2">
        <v>68</v>
      </c>
      <c r="F15" s="2">
        <v>97</v>
      </c>
      <c r="G15" s="2">
        <v>72</v>
      </c>
      <c r="H15" s="2">
        <v>98</v>
      </c>
      <c r="I15" s="2">
        <v>96</v>
      </c>
      <c r="J15" s="2">
        <v>431</v>
      </c>
      <c r="K15" s="2">
        <v>86.2</v>
      </c>
      <c r="L15" s="2" t="s">
        <v>17</v>
      </c>
      <c r="M15" s="2" t="s">
        <v>19</v>
      </c>
      <c r="N15" s="2">
        <v>74</v>
      </c>
      <c r="O15" s="2" t="s">
        <v>38</v>
      </c>
      <c r="P15" s="2" t="str">
        <f t="shared" si="0"/>
        <v>Pass</v>
      </c>
      <c r="Q15">
        <f>CORREL(J2:J101,K2:K101)</f>
        <v>0.9001819419922511</v>
      </c>
      <c r="R15" t="s">
        <v>219</v>
      </c>
    </row>
    <row r="16" spans="1:24" x14ac:dyDescent="0.3">
      <c r="A16" s="2" t="s">
        <v>49</v>
      </c>
      <c r="B16" s="2" t="s">
        <v>50</v>
      </c>
      <c r="C16" s="2">
        <v>10</v>
      </c>
      <c r="D16" s="2" t="s">
        <v>25</v>
      </c>
      <c r="E16" s="2">
        <v>93</v>
      </c>
      <c r="F16" s="2">
        <v>95</v>
      </c>
      <c r="G16" s="2">
        <v>65</v>
      </c>
      <c r="H16" s="2">
        <v>89</v>
      </c>
      <c r="I16" s="2">
        <v>70</v>
      </c>
      <c r="J16" s="2">
        <v>412</v>
      </c>
      <c r="K16" s="2">
        <v>82.4</v>
      </c>
      <c r="L16" s="2" t="s">
        <v>17</v>
      </c>
      <c r="M16" s="2" t="s">
        <v>19</v>
      </c>
      <c r="N16" s="2">
        <v>77</v>
      </c>
      <c r="O16" s="2" t="s">
        <v>20</v>
      </c>
      <c r="P16" s="2" t="str">
        <f t="shared" si="0"/>
        <v>Pass</v>
      </c>
      <c r="Q16">
        <f>COUNTIF(P2:P101,P76)</f>
        <v>99</v>
      </c>
      <c r="R16" t="s">
        <v>221</v>
      </c>
    </row>
    <row r="17" spans="1:18" x14ac:dyDescent="0.3">
      <c r="A17" s="2" t="s">
        <v>51</v>
      </c>
      <c r="B17" s="2" t="s">
        <v>52</v>
      </c>
      <c r="C17" s="2">
        <v>10</v>
      </c>
      <c r="D17" s="2" t="s">
        <v>17</v>
      </c>
      <c r="E17" s="2">
        <v>84</v>
      </c>
      <c r="F17" s="2">
        <v>79</v>
      </c>
      <c r="G17" s="2">
        <v>72</v>
      </c>
      <c r="H17" s="2">
        <v>95</v>
      </c>
      <c r="I17" s="2">
        <v>90</v>
      </c>
      <c r="J17" s="2">
        <v>420</v>
      </c>
      <c r="K17" s="2">
        <v>84</v>
      </c>
      <c r="L17" s="2" t="s">
        <v>17</v>
      </c>
      <c r="M17" s="2" t="s">
        <v>19</v>
      </c>
      <c r="N17" s="2">
        <v>79</v>
      </c>
      <c r="O17" s="2" t="s">
        <v>20</v>
      </c>
      <c r="P17" s="2" t="str">
        <f t="shared" si="0"/>
        <v>Pass</v>
      </c>
      <c r="Q17">
        <f>COUNTIF(P2:P101,P12)</f>
        <v>1</v>
      </c>
      <c r="R17" t="s">
        <v>221</v>
      </c>
    </row>
    <row r="18" spans="1:18" x14ac:dyDescent="0.3">
      <c r="A18" s="2" t="s">
        <v>53</v>
      </c>
      <c r="B18" s="2" t="s">
        <v>54</v>
      </c>
      <c r="C18" s="2">
        <v>10</v>
      </c>
      <c r="D18" s="2" t="s">
        <v>18</v>
      </c>
      <c r="E18" s="2">
        <v>98</v>
      </c>
      <c r="F18" s="2">
        <v>75</v>
      </c>
      <c r="G18" s="2">
        <v>58</v>
      </c>
      <c r="H18" s="2">
        <v>69</v>
      </c>
      <c r="I18" s="2">
        <v>57</v>
      </c>
      <c r="J18" s="2">
        <v>357</v>
      </c>
      <c r="K18" s="2">
        <v>71.400000000000006</v>
      </c>
      <c r="L18" s="2" t="s">
        <v>18</v>
      </c>
      <c r="M18" s="2" t="s">
        <v>19</v>
      </c>
      <c r="N18" s="2">
        <v>97</v>
      </c>
      <c r="O18" s="2" t="s">
        <v>20</v>
      </c>
      <c r="P18" s="2" t="str">
        <f t="shared" si="0"/>
        <v>Pass</v>
      </c>
      <c r="Q18">
        <f ca="1">AVERAGEIF(P2:P101,P78,K75:K101)</f>
        <v>76.92307692307692</v>
      </c>
      <c r="R18" t="s">
        <v>222</v>
      </c>
    </row>
    <row r="19" spans="1:18" x14ac:dyDescent="0.3">
      <c r="A19" s="2" t="s">
        <v>55</v>
      </c>
      <c r="B19" s="2" t="s">
        <v>56</v>
      </c>
      <c r="C19" s="2">
        <v>10</v>
      </c>
      <c r="D19" s="2" t="s">
        <v>25</v>
      </c>
      <c r="E19" s="2">
        <v>75</v>
      </c>
      <c r="F19" s="2">
        <v>80</v>
      </c>
      <c r="G19" s="2">
        <v>72</v>
      </c>
      <c r="H19" s="2">
        <v>59</v>
      </c>
      <c r="I19" s="2">
        <v>68</v>
      </c>
      <c r="J19" s="2">
        <v>354</v>
      </c>
      <c r="K19" s="2">
        <v>70.8</v>
      </c>
      <c r="L19" s="2" t="s">
        <v>18</v>
      </c>
      <c r="M19" s="2" t="s">
        <v>19</v>
      </c>
      <c r="N19" s="2">
        <v>90</v>
      </c>
      <c r="O19" s="2" t="s">
        <v>20</v>
      </c>
      <c r="P19" s="2" t="str">
        <f t="shared" si="0"/>
        <v>Pass</v>
      </c>
      <c r="Q19">
        <f>AVERAGEIF(P2:P101,P12,K2:K101)</f>
        <v>40</v>
      </c>
      <c r="R19" t="s">
        <v>222</v>
      </c>
    </row>
    <row r="20" spans="1:18" x14ac:dyDescent="0.3">
      <c r="A20" s="2" t="s">
        <v>57</v>
      </c>
      <c r="B20" s="2" t="s">
        <v>58</v>
      </c>
      <c r="C20" s="2">
        <v>10</v>
      </c>
      <c r="D20" s="2" t="s">
        <v>17</v>
      </c>
      <c r="E20" s="2">
        <v>75</v>
      </c>
      <c r="F20" s="2">
        <v>68</v>
      </c>
      <c r="G20" s="2">
        <v>96</v>
      </c>
      <c r="H20" s="2">
        <v>86</v>
      </c>
      <c r="I20" s="2">
        <v>80</v>
      </c>
      <c r="J20" s="2">
        <v>405</v>
      </c>
      <c r="K20" s="2">
        <v>81</v>
      </c>
      <c r="L20" s="2" t="s">
        <v>17</v>
      </c>
      <c r="M20" s="2" t="s">
        <v>19</v>
      </c>
      <c r="N20" s="2">
        <v>100</v>
      </c>
      <c r="O20" s="2" t="s">
        <v>20</v>
      </c>
      <c r="P20" s="2" t="str">
        <f t="shared" si="0"/>
        <v>Pass</v>
      </c>
    </row>
    <row r="21" spans="1:18" x14ac:dyDescent="0.3">
      <c r="A21" s="2" t="s">
        <v>59</v>
      </c>
      <c r="B21" s="2" t="s">
        <v>60</v>
      </c>
      <c r="C21" s="2">
        <v>10</v>
      </c>
      <c r="D21" s="2" t="s">
        <v>18</v>
      </c>
      <c r="E21" s="2">
        <v>96</v>
      </c>
      <c r="F21" s="2">
        <v>84</v>
      </c>
      <c r="G21" s="2">
        <v>64</v>
      </c>
      <c r="H21" s="2">
        <v>71</v>
      </c>
      <c r="I21" s="2">
        <v>63</v>
      </c>
      <c r="J21" s="2">
        <v>378</v>
      </c>
      <c r="K21" s="2">
        <v>75.599999999999994</v>
      </c>
      <c r="L21" s="2" t="s">
        <v>18</v>
      </c>
      <c r="M21" s="2" t="s">
        <v>19</v>
      </c>
      <c r="N21" s="2">
        <v>79</v>
      </c>
      <c r="O21" s="2" t="s">
        <v>20</v>
      </c>
      <c r="P21" s="2" t="str">
        <f t="shared" si="0"/>
        <v>Pass</v>
      </c>
    </row>
    <row r="22" spans="1:18" x14ac:dyDescent="0.3">
      <c r="A22" s="2" t="s">
        <v>61</v>
      </c>
      <c r="B22" s="2" t="s">
        <v>62</v>
      </c>
      <c r="C22" s="2">
        <v>10</v>
      </c>
      <c r="D22" s="2" t="s">
        <v>25</v>
      </c>
      <c r="E22" s="2">
        <v>90</v>
      </c>
      <c r="F22" s="2">
        <v>89</v>
      </c>
      <c r="G22" s="2">
        <v>71</v>
      </c>
      <c r="H22" s="2">
        <v>92</v>
      </c>
      <c r="I22" s="2">
        <v>82</v>
      </c>
      <c r="J22" s="2">
        <v>424</v>
      </c>
      <c r="K22" s="2">
        <v>84.8</v>
      </c>
      <c r="L22" s="2" t="s">
        <v>17</v>
      </c>
      <c r="M22" s="2" t="s">
        <v>19</v>
      </c>
      <c r="N22" s="2">
        <v>100</v>
      </c>
      <c r="O22" s="2" t="s">
        <v>20</v>
      </c>
      <c r="P22" s="2" t="str">
        <f t="shared" si="0"/>
        <v>Pass</v>
      </c>
    </row>
    <row r="23" spans="1:18" x14ac:dyDescent="0.3">
      <c r="A23" s="2" t="s">
        <v>63</v>
      </c>
      <c r="B23" s="2" t="s">
        <v>64</v>
      </c>
      <c r="C23" s="2">
        <v>10</v>
      </c>
      <c r="D23" s="2" t="s">
        <v>17</v>
      </c>
      <c r="E23" s="2">
        <v>92</v>
      </c>
      <c r="F23" s="2">
        <v>80</v>
      </c>
      <c r="G23" s="2">
        <v>78</v>
      </c>
      <c r="H23" s="2">
        <v>69</v>
      </c>
      <c r="I23" s="2">
        <v>63</v>
      </c>
      <c r="J23" s="2">
        <v>382</v>
      </c>
      <c r="K23" s="2">
        <v>76.400000000000006</v>
      </c>
      <c r="L23" s="2" t="s">
        <v>18</v>
      </c>
      <c r="M23" s="2" t="s">
        <v>19</v>
      </c>
      <c r="N23" s="2">
        <v>88</v>
      </c>
      <c r="O23" s="2" t="s">
        <v>20</v>
      </c>
      <c r="P23" s="2" t="str">
        <f t="shared" si="0"/>
        <v>Pass</v>
      </c>
    </row>
    <row r="24" spans="1:18" x14ac:dyDescent="0.3">
      <c r="A24" s="2" t="s">
        <v>65</v>
      </c>
      <c r="B24" s="2" t="s">
        <v>66</v>
      </c>
      <c r="C24" s="2">
        <v>10</v>
      </c>
      <c r="D24" s="2" t="s">
        <v>18</v>
      </c>
      <c r="E24" s="2">
        <v>86</v>
      </c>
      <c r="F24" s="2">
        <v>60</v>
      </c>
      <c r="G24" s="2">
        <v>58</v>
      </c>
      <c r="H24" s="2">
        <v>62</v>
      </c>
      <c r="I24" s="2">
        <v>64</v>
      </c>
      <c r="J24" s="2">
        <v>330</v>
      </c>
      <c r="K24" s="2">
        <v>66</v>
      </c>
      <c r="L24" s="2" t="s">
        <v>25</v>
      </c>
      <c r="M24" s="2" t="s">
        <v>19</v>
      </c>
      <c r="N24" s="2">
        <v>92</v>
      </c>
      <c r="O24" s="2" t="s">
        <v>20</v>
      </c>
      <c r="P24" s="2" t="str">
        <f t="shared" si="0"/>
        <v>Pass</v>
      </c>
    </row>
    <row r="25" spans="1:18" x14ac:dyDescent="0.3">
      <c r="A25" s="2" t="s">
        <v>67</v>
      </c>
      <c r="B25" s="2" t="s">
        <v>68</v>
      </c>
      <c r="C25" s="2">
        <v>10</v>
      </c>
      <c r="D25" s="2" t="s">
        <v>25</v>
      </c>
      <c r="E25" s="2">
        <v>65</v>
      </c>
      <c r="F25" s="2">
        <v>98</v>
      </c>
      <c r="G25" s="2">
        <v>82</v>
      </c>
      <c r="H25" s="2">
        <v>93</v>
      </c>
      <c r="I25" s="2">
        <v>59</v>
      </c>
      <c r="J25" s="2">
        <v>397</v>
      </c>
      <c r="K25" s="2">
        <v>79.400000000000006</v>
      </c>
      <c r="L25" s="2" t="s">
        <v>18</v>
      </c>
      <c r="M25" s="2" t="s">
        <v>19</v>
      </c>
      <c r="N25" s="2">
        <v>84</v>
      </c>
      <c r="O25" s="2" t="s">
        <v>20</v>
      </c>
      <c r="P25" s="2" t="str">
        <f t="shared" si="0"/>
        <v>Pass</v>
      </c>
    </row>
    <row r="26" spans="1:18" x14ac:dyDescent="0.3">
      <c r="A26" s="2" t="s">
        <v>69</v>
      </c>
      <c r="B26" s="2" t="s">
        <v>70</v>
      </c>
      <c r="C26" s="2">
        <v>10</v>
      </c>
      <c r="D26" s="2" t="s">
        <v>17</v>
      </c>
      <c r="E26" s="2">
        <v>79</v>
      </c>
      <c r="F26" s="2">
        <v>93</v>
      </c>
      <c r="G26" s="2">
        <v>84</v>
      </c>
      <c r="H26" s="2">
        <v>88</v>
      </c>
      <c r="I26" s="2">
        <v>71</v>
      </c>
      <c r="J26" s="2">
        <v>415</v>
      </c>
      <c r="K26" s="2">
        <v>83</v>
      </c>
      <c r="L26" s="2" t="s">
        <v>17</v>
      </c>
      <c r="M26" s="2" t="s">
        <v>19</v>
      </c>
      <c r="N26" s="2">
        <v>89</v>
      </c>
      <c r="O26" s="2" t="s">
        <v>20</v>
      </c>
      <c r="P26" s="2" t="str">
        <f t="shared" si="0"/>
        <v>Pass</v>
      </c>
    </row>
    <row r="27" spans="1:18" x14ac:dyDescent="0.3">
      <c r="A27" s="2" t="s">
        <v>71</v>
      </c>
      <c r="B27" s="2" t="s">
        <v>72</v>
      </c>
      <c r="C27" s="2">
        <v>10</v>
      </c>
      <c r="D27" s="2" t="s">
        <v>18</v>
      </c>
      <c r="E27" s="2">
        <v>55</v>
      </c>
      <c r="F27" s="2">
        <v>98</v>
      </c>
      <c r="G27" s="2">
        <v>62</v>
      </c>
      <c r="H27" s="2">
        <v>98</v>
      </c>
      <c r="I27" s="2">
        <v>89</v>
      </c>
      <c r="J27" s="2">
        <v>402</v>
      </c>
      <c r="K27" s="2">
        <v>80.400000000000006</v>
      </c>
      <c r="L27" s="2" t="s">
        <v>17</v>
      </c>
      <c r="M27" s="2" t="s">
        <v>19</v>
      </c>
      <c r="N27" s="2">
        <v>96</v>
      </c>
      <c r="O27" s="2" t="s">
        <v>20</v>
      </c>
      <c r="P27" s="2" t="str">
        <f t="shared" si="0"/>
        <v>Pass</v>
      </c>
    </row>
    <row r="28" spans="1:18" x14ac:dyDescent="0.3">
      <c r="A28" s="2" t="s">
        <v>73</v>
      </c>
      <c r="B28" s="2" t="s">
        <v>74</v>
      </c>
      <c r="C28" s="2">
        <v>10</v>
      </c>
      <c r="D28" s="2" t="s">
        <v>25</v>
      </c>
      <c r="E28" s="2">
        <v>72</v>
      </c>
      <c r="F28" s="2">
        <v>96</v>
      </c>
      <c r="G28" s="2">
        <v>76</v>
      </c>
      <c r="H28" s="2">
        <v>62</v>
      </c>
      <c r="I28" s="2">
        <v>73</v>
      </c>
      <c r="J28" s="2">
        <v>379</v>
      </c>
      <c r="K28" s="2">
        <v>75.8</v>
      </c>
      <c r="L28" s="2" t="s">
        <v>18</v>
      </c>
      <c r="M28" s="2" t="s">
        <v>19</v>
      </c>
      <c r="N28" s="2">
        <v>85</v>
      </c>
      <c r="O28" s="2" t="s">
        <v>20</v>
      </c>
      <c r="P28" s="2" t="str">
        <f t="shared" si="0"/>
        <v>Pass</v>
      </c>
    </row>
    <row r="29" spans="1:18" x14ac:dyDescent="0.3">
      <c r="A29" s="2" t="s">
        <v>75</v>
      </c>
      <c r="B29" s="2" t="s">
        <v>76</v>
      </c>
      <c r="C29" s="2">
        <v>10</v>
      </c>
      <c r="D29" s="2" t="s">
        <v>17</v>
      </c>
      <c r="E29" s="2">
        <v>65</v>
      </c>
      <c r="F29" s="2">
        <v>84</v>
      </c>
      <c r="G29" s="2">
        <v>55</v>
      </c>
      <c r="H29" s="2">
        <v>71</v>
      </c>
      <c r="I29" s="2">
        <v>87</v>
      </c>
      <c r="J29" s="2">
        <v>362</v>
      </c>
      <c r="K29" s="2">
        <v>72.400000000000006</v>
      </c>
      <c r="L29" s="2" t="s">
        <v>18</v>
      </c>
      <c r="M29" s="2" t="s">
        <v>19</v>
      </c>
      <c r="N29" s="2">
        <v>96</v>
      </c>
      <c r="O29" s="2" t="s">
        <v>20</v>
      </c>
      <c r="P29" s="2" t="str">
        <f t="shared" si="0"/>
        <v>Pass</v>
      </c>
    </row>
    <row r="30" spans="1:18" x14ac:dyDescent="0.3">
      <c r="A30" s="2" t="s">
        <v>77</v>
      </c>
      <c r="B30" s="2" t="s">
        <v>78</v>
      </c>
      <c r="C30" s="2">
        <v>10</v>
      </c>
      <c r="D30" s="2" t="s">
        <v>18</v>
      </c>
      <c r="E30" s="2">
        <v>66</v>
      </c>
      <c r="F30" s="2">
        <v>87</v>
      </c>
      <c r="G30" s="2">
        <v>61</v>
      </c>
      <c r="H30" s="2">
        <v>95</v>
      </c>
      <c r="I30" s="2">
        <v>74</v>
      </c>
      <c r="J30" s="2">
        <v>383</v>
      </c>
      <c r="K30" s="2">
        <v>76.599999999999994</v>
      </c>
      <c r="L30" s="2" t="s">
        <v>18</v>
      </c>
      <c r="M30" s="2" t="s">
        <v>19</v>
      </c>
      <c r="N30" s="2">
        <v>98</v>
      </c>
      <c r="O30" s="2" t="s">
        <v>20</v>
      </c>
      <c r="P30" s="2" t="str">
        <f t="shared" si="0"/>
        <v>Pass</v>
      </c>
    </row>
    <row r="31" spans="1:18" x14ac:dyDescent="0.3">
      <c r="A31" s="2" t="s">
        <v>79</v>
      </c>
      <c r="B31" s="2" t="s">
        <v>80</v>
      </c>
      <c r="C31" s="2">
        <v>10</v>
      </c>
      <c r="D31" s="2" t="s">
        <v>25</v>
      </c>
      <c r="E31" s="2">
        <v>95</v>
      </c>
      <c r="F31" s="2">
        <v>87</v>
      </c>
      <c r="G31" s="2">
        <v>93</v>
      </c>
      <c r="H31" s="2">
        <v>67</v>
      </c>
      <c r="I31" s="2">
        <v>64</v>
      </c>
      <c r="J31" s="2">
        <v>406</v>
      </c>
      <c r="K31" s="2">
        <v>81.2</v>
      </c>
      <c r="L31" s="2" t="s">
        <v>17</v>
      </c>
      <c r="M31" s="2" t="s">
        <v>19</v>
      </c>
      <c r="N31" s="2">
        <v>83</v>
      </c>
      <c r="O31" s="2" t="s">
        <v>20</v>
      </c>
      <c r="P31" s="2" t="str">
        <f t="shared" si="0"/>
        <v>Pass</v>
      </c>
    </row>
    <row r="32" spans="1:18" x14ac:dyDescent="0.3">
      <c r="A32" s="2" t="s">
        <v>81</v>
      </c>
      <c r="B32" s="2" t="s">
        <v>82</v>
      </c>
      <c r="C32" s="2">
        <v>10</v>
      </c>
      <c r="D32" s="2" t="s">
        <v>17</v>
      </c>
      <c r="E32" s="2">
        <v>65</v>
      </c>
      <c r="F32" s="2">
        <v>89</v>
      </c>
      <c r="G32" s="2">
        <v>88</v>
      </c>
      <c r="H32" s="2">
        <v>55</v>
      </c>
      <c r="I32" s="2">
        <v>93</v>
      </c>
      <c r="J32" s="2">
        <v>390</v>
      </c>
      <c r="K32" s="2">
        <v>78</v>
      </c>
      <c r="L32" s="2" t="s">
        <v>18</v>
      </c>
      <c r="M32" s="2" t="s">
        <v>19</v>
      </c>
      <c r="N32" s="2">
        <v>82</v>
      </c>
      <c r="O32" s="2" t="s">
        <v>20</v>
      </c>
      <c r="P32" s="2" t="str">
        <f t="shared" si="0"/>
        <v>Pass</v>
      </c>
    </row>
    <row r="33" spans="1:16" x14ac:dyDescent="0.3">
      <c r="A33" s="2" t="s">
        <v>83</v>
      </c>
      <c r="B33" s="2" t="s">
        <v>84</v>
      </c>
      <c r="C33" s="2">
        <v>10</v>
      </c>
      <c r="D33" s="2" t="s">
        <v>18</v>
      </c>
      <c r="E33" s="2">
        <v>86</v>
      </c>
      <c r="F33" s="2">
        <v>56</v>
      </c>
      <c r="G33" s="2">
        <v>62</v>
      </c>
      <c r="H33" s="2">
        <v>78</v>
      </c>
      <c r="I33" s="2">
        <v>74</v>
      </c>
      <c r="J33" s="2">
        <v>356</v>
      </c>
      <c r="K33" s="2">
        <v>71.2</v>
      </c>
      <c r="L33" s="2" t="s">
        <v>18</v>
      </c>
      <c r="M33" s="2" t="s">
        <v>19</v>
      </c>
      <c r="N33" s="2">
        <v>79</v>
      </c>
      <c r="O33" s="2" t="s">
        <v>20</v>
      </c>
      <c r="P33" s="2" t="str">
        <f t="shared" si="0"/>
        <v>Pass</v>
      </c>
    </row>
    <row r="34" spans="1:16" x14ac:dyDescent="0.3">
      <c r="A34" s="2" t="s">
        <v>85</v>
      </c>
      <c r="B34" s="2" t="s">
        <v>86</v>
      </c>
      <c r="C34" s="2">
        <v>10</v>
      </c>
      <c r="D34" s="2" t="s">
        <v>25</v>
      </c>
      <c r="E34" s="2">
        <v>58</v>
      </c>
      <c r="F34" s="2">
        <v>70</v>
      </c>
      <c r="G34" s="2">
        <v>91</v>
      </c>
      <c r="H34" s="2">
        <v>60</v>
      </c>
      <c r="I34" s="2">
        <v>60</v>
      </c>
      <c r="J34" s="2">
        <v>339</v>
      </c>
      <c r="K34" s="2">
        <v>67.8</v>
      </c>
      <c r="L34" s="2" t="s">
        <v>25</v>
      </c>
      <c r="M34" s="2" t="s">
        <v>19</v>
      </c>
      <c r="N34" s="2">
        <v>95</v>
      </c>
      <c r="O34" s="2" t="s">
        <v>20</v>
      </c>
      <c r="P34" s="2" t="str">
        <f t="shared" si="0"/>
        <v>Pass</v>
      </c>
    </row>
    <row r="35" spans="1:16" x14ac:dyDescent="0.3">
      <c r="A35" s="2" t="s">
        <v>87</v>
      </c>
      <c r="B35" s="2" t="s">
        <v>88</v>
      </c>
      <c r="C35" s="2">
        <v>10</v>
      </c>
      <c r="D35" s="2" t="s">
        <v>17</v>
      </c>
      <c r="E35" s="2">
        <v>86</v>
      </c>
      <c r="F35" s="2">
        <v>59</v>
      </c>
      <c r="G35" s="2">
        <v>89</v>
      </c>
      <c r="H35" s="2">
        <v>63</v>
      </c>
      <c r="I35" s="2">
        <v>63</v>
      </c>
      <c r="J35" s="2">
        <v>360</v>
      </c>
      <c r="K35" s="2">
        <v>72</v>
      </c>
      <c r="L35" s="2" t="s">
        <v>18</v>
      </c>
      <c r="M35" s="2" t="s">
        <v>19</v>
      </c>
      <c r="N35" s="2">
        <v>93</v>
      </c>
      <c r="O35" s="2" t="s">
        <v>20</v>
      </c>
      <c r="P35" s="2" t="str">
        <f t="shared" si="0"/>
        <v>Pass</v>
      </c>
    </row>
    <row r="36" spans="1:16" x14ac:dyDescent="0.3">
      <c r="A36" s="2" t="s">
        <v>89</v>
      </c>
      <c r="B36" s="2" t="s">
        <v>90</v>
      </c>
      <c r="C36" s="2">
        <v>10</v>
      </c>
      <c r="D36" s="2" t="s">
        <v>18</v>
      </c>
      <c r="E36" s="2">
        <v>85</v>
      </c>
      <c r="F36" s="2">
        <v>90</v>
      </c>
      <c r="G36" s="2">
        <v>65</v>
      </c>
      <c r="H36" s="2">
        <v>71</v>
      </c>
      <c r="I36" s="2">
        <v>88</v>
      </c>
      <c r="J36" s="2">
        <v>399</v>
      </c>
      <c r="K36" s="2">
        <v>79.8</v>
      </c>
      <c r="L36" s="2" t="s">
        <v>18</v>
      </c>
      <c r="M36" s="2" t="s">
        <v>19</v>
      </c>
      <c r="N36" s="2">
        <v>99</v>
      </c>
      <c r="O36" s="2" t="s">
        <v>20</v>
      </c>
      <c r="P36" s="2" t="str">
        <f t="shared" si="0"/>
        <v>Pass</v>
      </c>
    </row>
    <row r="37" spans="1:16" x14ac:dyDescent="0.3">
      <c r="A37" s="2" t="s">
        <v>91</v>
      </c>
      <c r="B37" s="2" t="s">
        <v>92</v>
      </c>
      <c r="C37" s="2">
        <v>10</v>
      </c>
      <c r="D37" s="2" t="s">
        <v>25</v>
      </c>
      <c r="E37" s="2">
        <v>93</v>
      </c>
      <c r="F37" s="2">
        <v>82</v>
      </c>
      <c r="G37" s="2">
        <v>68</v>
      </c>
      <c r="H37" s="2">
        <v>89</v>
      </c>
      <c r="I37" s="2">
        <v>67</v>
      </c>
      <c r="J37" s="2">
        <v>399</v>
      </c>
      <c r="K37" s="2">
        <v>79.8</v>
      </c>
      <c r="L37" s="2" t="s">
        <v>18</v>
      </c>
      <c r="M37" s="2" t="s">
        <v>19</v>
      </c>
      <c r="N37" s="2">
        <v>94</v>
      </c>
      <c r="O37" s="2" t="s">
        <v>20</v>
      </c>
      <c r="P37" s="2" t="str">
        <f t="shared" si="0"/>
        <v>Pass</v>
      </c>
    </row>
    <row r="38" spans="1:16" x14ac:dyDescent="0.3">
      <c r="A38" s="2" t="s">
        <v>93</v>
      </c>
      <c r="B38" s="2" t="s">
        <v>94</v>
      </c>
      <c r="C38" s="2">
        <v>10</v>
      </c>
      <c r="D38" s="2" t="s">
        <v>17</v>
      </c>
      <c r="E38" s="2">
        <v>74</v>
      </c>
      <c r="F38" s="2">
        <v>80</v>
      </c>
      <c r="G38" s="2">
        <v>97</v>
      </c>
      <c r="H38" s="2">
        <v>96</v>
      </c>
      <c r="I38" s="2">
        <v>78</v>
      </c>
      <c r="J38" s="2">
        <v>425</v>
      </c>
      <c r="K38" s="2">
        <v>85</v>
      </c>
      <c r="L38" s="2" t="s">
        <v>17</v>
      </c>
      <c r="M38" s="2" t="s">
        <v>19</v>
      </c>
      <c r="N38" s="2">
        <v>86</v>
      </c>
      <c r="O38" s="2" t="s">
        <v>20</v>
      </c>
      <c r="P38" s="2" t="str">
        <f t="shared" si="0"/>
        <v>Pass</v>
      </c>
    </row>
    <row r="39" spans="1:16" x14ac:dyDescent="0.3">
      <c r="A39" s="2" t="s">
        <v>95</v>
      </c>
      <c r="B39" s="2" t="s">
        <v>96</v>
      </c>
      <c r="C39" s="2">
        <v>10</v>
      </c>
      <c r="D39" s="2" t="s">
        <v>18</v>
      </c>
      <c r="E39" s="2">
        <v>88</v>
      </c>
      <c r="F39" s="2">
        <v>83</v>
      </c>
      <c r="G39" s="2">
        <v>62</v>
      </c>
      <c r="H39" s="2">
        <v>70</v>
      </c>
      <c r="I39" s="2">
        <v>69</v>
      </c>
      <c r="J39" s="2">
        <v>372</v>
      </c>
      <c r="K39" s="2">
        <v>74.400000000000006</v>
      </c>
      <c r="L39" s="2" t="s">
        <v>18</v>
      </c>
      <c r="M39" s="2" t="s">
        <v>19</v>
      </c>
      <c r="N39" s="2">
        <v>74</v>
      </c>
      <c r="O39" s="2" t="s">
        <v>38</v>
      </c>
      <c r="P39" s="2" t="str">
        <f t="shared" si="0"/>
        <v>Pass</v>
      </c>
    </row>
    <row r="40" spans="1:16" x14ac:dyDescent="0.3">
      <c r="A40" s="2" t="s">
        <v>97</v>
      </c>
      <c r="B40" s="2" t="s">
        <v>98</v>
      </c>
      <c r="C40" s="2">
        <v>10</v>
      </c>
      <c r="D40" s="2" t="s">
        <v>25</v>
      </c>
      <c r="E40" s="2">
        <v>76</v>
      </c>
      <c r="F40" s="2">
        <v>56</v>
      </c>
      <c r="G40" s="2">
        <v>92</v>
      </c>
      <c r="H40" s="2">
        <v>90</v>
      </c>
      <c r="I40" s="2">
        <v>69</v>
      </c>
      <c r="J40" s="2">
        <v>383</v>
      </c>
      <c r="K40" s="2">
        <v>76.599999999999994</v>
      </c>
      <c r="L40" s="2" t="s">
        <v>18</v>
      </c>
      <c r="M40" s="2" t="s">
        <v>19</v>
      </c>
      <c r="N40" s="2">
        <v>90</v>
      </c>
      <c r="O40" s="2" t="s">
        <v>20</v>
      </c>
      <c r="P40" s="2" t="str">
        <f t="shared" si="0"/>
        <v>Pass</v>
      </c>
    </row>
    <row r="41" spans="1:16" x14ac:dyDescent="0.3">
      <c r="A41" s="2" t="s">
        <v>99</v>
      </c>
      <c r="B41" s="2" t="s">
        <v>100</v>
      </c>
      <c r="C41" s="2">
        <v>10</v>
      </c>
      <c r="D41" s="2" t="s">
        <v>17</v>
      </c>
      <c r="E41" s="2">
        <v>69</v>
      </c>
      <c r="F41" s="2">
        <v>55</v>
      </c>
      <c r="G41" s="2">
        <v>59</v>
      </c>
      <c r="H41" s="2">
        <v>95</v>
      </c>
      <c r="I41" s="2">
        <v>58</v>
      </c>
      <c r="J41" s="2">
        <v>336</v>
      </c>
      <c r="K41" s="2">
        <v>67.2</v>
      </c>
      <c r="L41" s="2" t="s">
        <v>25</v>
      </c>
      <c r="M41" s="2" t="s">
        <v>19</v>
      </c>
      <c r="N41" s="2">
        <v>79</v>
      </c>
      <c r="O41" s="2" t="s">
        <v>20</v>
      </c>
      <c r="P41" s="2" t="str">
        <f t="shared" si="0"/>
        <v>Pass</v>
      </c>
    </row>
    <row r="42" spans="1:16" x14ac:dyDescent="0.3">
      <c r="A42" s="2" t="s">
        <v>101</v>
      </c>
      <c r="B42" s="2" t="s">
        <v>102</v>
      </c>
      <c r="C42" s="2">
        <v>10</v>
      </c>
      <c r="D42" s="2" t="s">
        <v>18</v>
      </c>
      <c r="E42" s="2">
        <v>59</v>
      </c>
      <c r="F42" s="2">
        <v>57</v>
      </c>
      <c r="G42" s="2">
        <v>76</v>
      </c>
      <c r="H42" s="2">
        <v>59</v>
      </c>
      <c r="I42" s="2">
        <v>87</v>
      </c>
      <c r="J42" s="2">
        <v>338</v>
      </c>
      <c r="K42" s="2">
        <v>67.599999999999994</v>
      </c>
      <c r="L42" s="2" t="s">
        <v>25</v>
      </c>
      <c r="M42" s="2" t="s">
        <v>19</v>
      </c>
      <c r="N42" s="2">
        <v>79</v>
      </c>
      <c r="O42" s="2" t="s">
        <v>20</v>
      </c>
      <c r="P42" s="2" t="str">
        <f t="shared" si="0"/>
        <v>Pass</v>
      </c>
    </row>
    <row r="43" spans="1:16" x14ac:dyDescent="0.3">
      <c r="A43" s="2" t="s">
        <v>103</v>
      </c>
      <c r="B43" s="2" t="s">
        <v>104</v>
      </c>
      <c r="C43" s="2">
        <v>10</v>
      </c>
      <c r="D43" s="2" t="s">
        <v>25</v>
      </c>
      <c r="E43" s="2">
        <v>72</v>
      </c>
      <c r="F43" s="2">
        <v>97</v>
      </c>
      <c r="G43" s="2">
        <v>86</v>
      </c>
      <c r="H43" s="2">
        <v>68</v>
      </c>
      <c r="I43" s="2">
        <v>89</v>
      </c>
      <c r="J43" s="2">
        <v>412</v>
      </c>
      <c r="K43" s="2">
        <v>82.4</v>
      </c>
      <c r="L43" s="2" t="s">
        <v>17</v>
      </c>
      <c r="M43" s="2" t="s">
        <v>19</v>
      </c>
      <c r="N43" s="2">
        <v>76</v>
      </c>
      <c r="O43" s="2" t="s">
        <v>20</v>
      </c>
      <c r="P43" s="2" t="str">
        <f t="shared" si="0"/>
        <v>Pass</v>
      </c>
    </row>
    <row r="44" spans="1:16" x14ac:dyDescent="0.3">
      <c r="A44" s="2" t="s">
        <v>105</v>
      </c>
      <c r="B44" s="2" t="s">
        <v>106</v>
      </c>
      <c r="C44" s="2">
        <v>10</v>
      </c>
      <c r="D44" s="2" t="s">
        <v>17</v>
      </c>
      <c r="E44" s="2">
        <v>91</v>
      </c>
      <c r="F44" s="2">
        <v>91</v>
      </c>
      <c r="G44" s="2">
        <v>85</v>
      </c>
      <c r="H44" s="2">
        <v>70</v>
      </c>
      <c r="I44" s="2">
        <v>85</v>
      </c>
      <c r="J44" s="2">
        <v>422</v>
      </c>
      <c r="K44" s="2">
        <v>84.4</v>
      </c>
      <c r="L44" s="2" t="s">
        <v>17</v>
      </c>
      <c r="M44" s="2" t="s">
        <v>19</v>
      </c>
      <c r="N44" s="2">
        <v>97</v>
      </c>
      <c r="O44" s="2" t="s">
        <v>20</v>
      </c>
      <c r="P44" s="2" t="str">
        <f t="shared" si="0"/>
        <v>Pass</v>
      </c>
    </row>
    <row r="45" spans="1:16" x14ac:dyDescent="0.3">
      <c r="A45" s="2" t="s">
        <v>107</v>
      </c>
      <c r="B45" s="2" t="s">
        <v>108</v>
      </c>
      <c r="C45" s="2">
        <v>10</v>
      </c>
      <c r="D45" s="2" t="s">
        <v>18</v>
      </c>
      <c r="E45" s="2">
        <v>81</v>
      </c>
      <c r="F45" s="2">
        <v>67</v>
      </c>
      <c r="G45" s="2">
        <v>61</v>
      </c>
      <c r="H45" s="2">
        <v>61</v>
      </c>
      <c r="I45" s="2">
        <v>97</v>
      </c>
      <c r="J45" s="2">
        <v>367</v>
      </c>
      <c r="K45" s="2">
        <v>73.400000000000006</v>
      </c>
      <c r="L45" s="2" t="s">
        <v>18</v>
      </c>
      <c r="M45" s="2" t="s">
        <v>19</v>
      </c>
      <c r="N45" s="2">
        <v>85</v>
      </c>
      <c r="O45" s="2" t="s">
        <v>20</v>
      </c>
      <c r="P45" s="2" t="str">
        <f t="shared" si="0"/>
        <v>Pass</v>
      </c>
    </row>
    <row r="46" spans="1:16" x14ac:dyDescent="0.3">
      <c r="A46" s="2" t="s">
        <v>109</v>
      </c>
      <c r="B46" s="2" t="s">
        <v>110</v>
      </c>
      <c r="C46" s="2">
        <v>10</v>
      </c>
      <c r="D46" s="2" t="s">
        <v>25</v>
      </c>
      <c r="E46" s="2">
        <v>77</v>
      </c>
      <c r="F46" s="2">
        <v>82</v>
      </c>
      <c r="G46" s="2">
        <v>81</v>
      </c>
      <c r="H46" s="2">
        <v>84</v>
      </c>
      <c r="I46" s="2">
        <v>58</v>
      </c>
      <c r="J46" s="2">
        <v>382</v>
      </c>
      <c r="K46" s="2">
        <v>76.400000000000006</v>
      </c>
      <c r="L46" s="2" t="s">
        <v>18</v>
      </c>
      <c r="M46" s="2" t="s">
        <v>19</v>
      </c>
      <c r="N46" s="2">
        <v>93</v>
      </c>
      <c r="O46" s="2" t="s">
        <v>20</v>
      </c>
      <c r="P46" s="2" t="str">
        <f t="shared" si="0"/>
        <v>Pass</v>
      </c>
    </row>
    <row r="47" spans="1:16" x14ac:dyDescent="0.3">
      <c r="A47" s="2" t="s">
        <v>111</v>
      </c>
      <c r="B47" s="2" t="s">
        <v>112</v>
      </c>
      <c r="C47" s="2">
        <v>10</v>
      </c>
      <c r="D47" s="2" t="s">
        <v>17</v>
      </c>
      <c r="E47" s="2">
        <v>96</v>
      </c>
      <c r="F47" s="2">
        <v>96</v>
      </c>
      <c r="G47" s="2">
        <v>61</v>
      </c>
      <c r="H47" s="2">
        <v>58</v>
      </c>
      <c r="I47" s="2">
        <v>80</v>
      </c>
      <c r="J47" s="2">
        <v>391</v>
      </c>
      <c r="K47" s="2">
        <v>78.2</v>
      </c>
      <c r="L47" s="2" t="s">
        <v>18</v>
      </c>
      <c r="M47" s="2" t="s">
        <v>19</v>
      </c>
      <c r="N47" s="2">
        <v>95</v>
      </c>
      <c r="O47" s="2" t="s">
        <v>20</v>
      </c>
      <c r="P47" s="2" t="str">
        <f t="shared" si="0"/>
        <v>Pass</v>
      </c>
    </row>
    <row r="48" spans="1:16" x14ac:dyDescent="0.3">
      <c r="A48" s="2" t="s">
        <v>113</v>
      </c>
      <c r="B48" s="2" t="s">
        <v>114</v>
      </c>
      <c r="C48" s="2">
        <v>10</v>
      </c>
      <c r="D48" s="2" t="s">
        <v>18</v>
      </c>
      <c r="E48" s="2">
        <v>76</v>
      </c>
      <c r="F48" s="2">
        <v>61</v>
      </c>
      <c r="G48" s="2">
        <v>70</v>
      </c>
      <c r="H48" s="2">
        <v>67</v>
      </c>
      <c r="I48" s="2">
        <v>67</v>
      </c>
      <c r="J48" s="2">
        <v>341</v>
      </c>
      <c r="K48" s="2">
        <v>68.2</v>
      </c>
      <c r="L48" s="2" t="s">
        <v>25</v>
      </c>
      <c r="M48" s="2" t="s">
        <v>19</v>
      </c>
      <c r="N48" s="2">
        <v>89</v>
      </c>
      <c r="O48" s="2" t="s">
        <v>20</v>
      </c>
      <c r="P48" s="2" t="str">
        <f t="shared" si="0"/>
        <v>Pass</v>
      </c>
    </row>
    <row r="49" spans="1:16" x14ac:dyDescent="0.3">
      <c r="A49" s="2" t="s">
        <v>115</v>
      </c>
      <c r="B49" s="2" t="s">
        <v>116</v>
      </c>
      <c r="C49" s="2">
        <v>10</v>
      </c>
      <c r="D49" s="2" t="s">
        <v>25</v>
      </c>
      <c r="E49" s="2">
        <v>83</v>
      </c>
      <c r="F49" s="2">
        <v>63</v>
      </c>
      <c r="G49" s="2">
        <v>82</v>
      </c>
      <c r="H49" s="2">
        <v>66</v>
      </c>
      <c r="I49" s="2">
        <v>72</v>
      </c>
      <c r="J49" s="2">
        <v>366</v>
      </c>
      <c r="K49" s="2">
        <v>73.2</v>
      </c>
      <c r="L49" s="2" t="s">
        <v>18</v>
      </c>
      <c r="M49" s="2" t="s">
        <v>19</v>
      </c>
      <c r="N49" s="2">
        <v>86</v>
      </c>
      <c r="O49" s="2" t="s">
        <v>20</v>
      </c>
      <c r="P49" s="2" t="str">
        <f t="shared" si="0"/>
        <v>Pass</v>
      </c>
    </row>
    <row r="50" spans="1:16" x14ac:dyDescent="0.3">
      <c r="A50" s="2" t="s">
        <v>117</v>
      </c>
      <c r="B50" s="2" t="s">
        <v>118</v>
      </c>
      <c r="C50" s="2">
        <v>10</v>
      </c>
      <c r="D50" s="2" t="s">
        <v>17</v>
      </c>
      <c r="E50" s="2">
        <v>70</v>
      </c>
      <c r="F50" s="2">
        <v>59</v>
      </c>
      <c r="G50" s="2">
        <v>83</v>
      </c>
      <c r="H50" s="2">
        <v>90</v>
      </c>
      <c r="I50" s="2">
        <v>61</v>
      </c>
      <c r="J50" s="2">
        <v>363</v>
      </c>
      <c r="K50" s="2">
        <v>72.599999999999994</v>
      </c>
      <c r="L50" s="2" t="s">
        <v>18</v>
      </c>
      <c r="M50" s="2" t="s">
        <v>19</v>
      </c>
      <c r="N50" s="2">
        <v>73</v>
      </c>
      <c r="O50" s="2" t="s">
        <v>38</v>
      </c>
      <c r="P50" s="2" t="str">
        <f t="shared" si="0"/>
        <v>Pass</v>
      </c>
    </row>
    <row r="51" spans="1:16" x14ac:dyDescent="0.3">
      <c r="A51" s="2" t="s">
        <v>119</v>
      </c>
      <c r="B51" s="2" t="s">
        <v>120</v>
      </c>
      <c r="C51" s="2">
        <v>10</v>
      </c>
      <c r="D51" s="2" t="s">
        <v>18</v>
      </c>
      <c r="E51" s="2">
        <v>96</v>
      </c>
      <c r="F51" s="2">
        <v>89</v>
      </c>
      <c r="G51" s="2">
        <v>55</v>
      </c>
      <c r="H51" s="2">
        <v>60</v>
      </c>
      <c r="I51" s="2">
        <v>70</v>
      </c>
      <c r="J51" s="2">
        <v>370</v>
      </c>
      <c r="K51" s="2">
        <v>74</v>
      </c>
      <c r="L51" s="2" t="s">
        <v>18</v>
      </c>
      <c r="M51" s="2" t="s">
        <v>19</v>
      </c>
      <c r="N51" s="2">
        <v>77</v>
      </c>
      <c r="O51" s="2" t="s">
        <v>20</v>
      </c>
      <c r="P51" s="2" t="str">
        <f t="shared" si="0"/>
        <v>Pass</v>
      </c>
    </row>
    <row r="52" spans="1:16" x14ac:dyDescent="0.3">
      <c r="A52" s="2" t="s">
        <v>121</v>
      </c>
      <c r="B52" s="2" t="s">
        <v>122</v>
      </c>
      <c r="C52" s="2">
        <v>10</v>
      </c>
      <c r="D52" s="2" t="s">
        <v>25</v>
      </c>
      <c r="E52" s="2">
        <v>81</v>
      </c>
      <c r="F52" s="2">
        <v>86</v>
      </c>
      <c r="G52" s="2">
        <v>85</v>
      </c>
      <c r="H52" s="2">
        <v>68</v>
      </c>
      <c r="I52" s="2">
        <v>80</v>
      </c>
      <c r="J52" s="2">
        <v>400</v>
      </c>
      <c r="K52" s="2">
        <v>80</v>
      </c>
      <c r="L52" s="2" t="s">
        <v>17</v>
      </c>
      <c r="M52" s="2" t="s">
        <v>19</v>
      </c>
      <c r="N52" s="2">
        <v>100</v>
      </c>
      <c r="O52" s="2" t="s">
        <v>20</v>
      </c>
      <c r="P52" s="2" t="str">
        <f t="shared" si="0"/>
        <v>Pass</v>
      </c>
    </row>
    <row r="53" spans="1:16" x14ac:dyDescent="0.3">
      <c r="A53" s="2" t="s">
        <v>123</v>
      </c>
      <c r="B53" s="2" t="s">
        <v>124</v>
      </c>
      <c r="C53" s="2">
        <v>10</v>
      </c>
      <c r="D53" s="2" t="s">
        <v>17</v>
      </c>
      <c r="E53" s="2">
        <v>58</v>
      </c>
      <c r="F53" s="2">
        <v>65</v>
      </c>
      <c r="G53" s="2">
        <v>79</v>
      </c>
      <c r="H53" s="2">
        <v>55</v>
      </c>
      <c r="I53" s="2">
        <v>79</v>
      </c>
      <c r="J53" s="2">
        <v>336</v>
      </c>
      <c r="K53" s="2">
        <v>67.2</v>
      </c>
      <c r="L53" s="2" t="s">
        <v>25</v>
      </c>
      <c r="M53" s="2" t="s">
        <v>19</v>
      </c>
      <c r="N53" s="2">
        <v>80</v>
      </c>
      <c r="O53" s="2" t="s">
        <v>20</v>
      </c>
      <c r="P53" s="2" t="str">
        <f t="shared" si="0"/>
        <v>Pass</v>
      </c>
    </row>
    <row r="54" spans="1:16" x14ac:dyDescent="0.3">
      <c r="A54" s="2" t="s">
        <v>125</v>
      </c>
      <c r="B54" s="2" t="s">
        <v>126</v>
      </c>
      <c r="C54" s="2">
        <v>10</v>
      </c>
      <c r="D54" s="2" t="s">
        <v>18</v>
      </c>
      <c r="E54" s="2">
        <v>84</v>
      </c>
      <c r="F54" s="2">
        <v>73</v>
      </c>
      <c r="G54" s="2">
        <v>82</v>
      </c>
      <c r="H54" s="2">
        <v>90</v>
      </c>
      <c r="I54" s="2">
        <v>97</v>
      </c>
      <c r="J54" s="2">
        <v>426</v>
      </c>
      <c r="K54" s="2">
        <v>85.2</v>
      </c>
      <c r="L54" s="2" t="s">
        <v>17</v>
      </c>
      <c r="M54" s="2" t="s">
        <v>19</v>
      </c>
      <c r="N54" s="2">
        <v>94</v>
      </c>
      <c r="O54" s="2" t="s">
        <v>20</v>
      </c>
      <c r="P54" s="2" t="str">
        <f t="shared" si="0"/>
        <v>Pass</v>
      </c>
    </row>
    <row r="55" spans="1:16" x14ac:dyDescent="0.3">
      <c r="A55" s="2" t="s">
        <v>127</v>
      </c>
      <c r="B55" s="2" t="s">
        <v>128</v>
      </c>
      <c r="C55" s="2">
        <v>10</v>
      </c>
      <c r="D55" s="2" t="s">
        <v>25</v>
      </c>
      <c r="E55" s="2">
        <v>86</v>
      </c>
      <c r="F55" s="2">
        <v>64</v>
      </c>
      <c r="G55" s="2">
        <v>67</v>
      </c>
      <c r="H55" s="2">
        <v>73</v>
      </c>
      <c r="I55" s="2">
        <v>68</v>
      </c>
      <c r="J55" s="2">
        <v>358</v>
      </c>
      <c r="K55" s="2">
        <v>71.599999999999994</v>
      </c>
      <c r="L55" s="2" t="s">
        <v>18</v>
      </c>
      <c r="M55" s="2" t="s">
        <v>19</v>
      </c>
      <c r="N55" s="2">
        <v>73</v>
      </c>
      <c r="O55" s="2" t="s">
        <v>38</v>
      </c>
      <c r="P55" s="2" t="str">
        <f t="shared" si="0"/>
        <v>Pass</v>
      </c>
    </row>
    <row r="56" spans="1:16" x14ac:dyDescent="0.3">
      <c r="A56" s="2" t="s">
        <v>129</v>
      </c>
      <c r="B56" s="2" t="s">
        <v>130</v>
      </c>
      <c r="C56" s="2">
        <v>10</v>
      </c>
      <c r="D56" s="2" t="s">
        <v>17</v>
      </c>
      <c r="E56" s="2">
        <v>92</v>
      </c>
      <c r="F56" s="2">
        <v>89</v>
      </c>
      <c r="G56" s="2">
        <v>58</v>
      </c>
      <c r="H56" s="2">
        <v>75</v>
      </c>
      <c r="I56" s="2">
        <v>58</v>
      </c>
      <c r="J56" s="2">
        <v>372</v>
      </c>
      <c r="K56" s="2">
        <v>74.400000000000006</v>
      </c>
      <c r="L56" s="2" t="s">
        <v>18</v>
      </c>
      <c r="M56" s="2" t="s">
        <v>19</v>
      </c>
      <c r="N56" s="2">
        <v>73</v>
      </c>
      <c r="O56" s="2" t="s">
        <v>38</v>
      </c>
      <c r="P56" s="2" t="str">
        <f t="shared" si="0"/>
        <v>Pass</v>
      </c>
    </row>
    <row r="57" spans="1:16" x14ac:dyDescent="0.3">
      <c r="A57" s="2" t="s">
        <v>131</v>
      </c>
      <c r="B57" s="2" t="s">
        <v>132</v>
      </c>
      <c r="C57" s="2">
        <v>10</v>
      </c>
      <c r="D57" s="2" t="s">
        <v>18</v>
      </c>
      <c r="E57" s="2">
        <v>92</v>
      </c>
      <c r="F57" s="2">
        <v>85</v>
      </c>
      <c r="G57" s="2">
        <v>87</v>
      </c>
      <c r="H57" s="2">
        <v>88</v>
      </c>
      <c r="I57" s="2">
        <v>65</v>
      </c>
      <c r="J57" s="2">
        <v>417</v>
      </c>
      <c r="K57" s="2">
        <v>83.4</v>
      </c>
      <c r="L57" s="2" t="s">
        <v>17</v>
      </c>
      <c r="M57" s="2" t="s">
        <v>19</v>
      </c>
      <c r="N57" s="2">
        <v>73</v>
      </c>
      <c r="O57" s="2" t="s">
        <v>38</v>
      </c>
      <c r="P57" s="2" t="str">
        <f t="shared" si="0"/>
        <v>Pass</v>
      </c>
    </row>
    <row r="58" spans="1:16" x14ac:dyDescent="0.3">
      <c r="A58" s="2" t="s">
        <v>133</v>
      </c>
      <c r="B58" s="2" t="s">
        <v>134</v>
      </c>
      <c r="C58" s="2">
        <v>10</v>
      </c>
      <c r="D58" s="2" t="s">
        <v>25</v>
      </c>
      <c r="E58" s="2">
        <v>87</v>
      </c>
      <c r="F58" s="2">
        <v>60</v>
      </c>
      <c r="G58" s="2">
        <v>66</v>
      </c>
      <c r="H58" s="2">
        <v>59</v>
      </c>
      <c r="I58" s="2">
        <v>93</v>
      </c>
      <c r="J58" s="2">
        <v>365</v>
      </c>
      <c r="K58" s="2">
        <v>73</v>
      </c>
      <c r="L58" s="2" t="s">
        <v>18</v>
      </c>
      <c r="M58" s="2" t="s">
        <v>19</v>
      </c>
      <c r="N58" s="2">
        <v>74</v>
      </c>
      <c r="O58" s="2" t="s">
        <v>38</v>
      </c>
      <c r="P58" s="2" t="str">
        <f t="shared" si="0"/>
        <v>Pass</v>
      </c>
    </row>
    <row r="59" spans="1:16" x14ac:dyDescent="0.3">
      <c r="A59" s="2" t="s">
        <v>135</v>
      </c>
      <c r="B59" s="2" t="s">
        <v>136</v>
      </c>
      <c r="C59" s="2">
        <v>10</v>
      </c>
      <c r="D59" s="2" t="s">
        <v>17</v>
      </c>
      <c r="E59" s="2">
        <v>98</v>
      </c>
      <c r="F59" s="2">
        <v>70</v>
      </c>
      <c r="G59" s="2">
        <v>80</v>
      </c>
      <c r="H59" s="2">
        <v>62</v>
      </c>
      <c r="I59" s="2">
        <v>91</v>
      </c>
      <c r="J59" s="2">
        <v>401</v>
      </c>
      <c r="K59" s="2">
        <v>80.2</v>
      </c>
      <c r="L59" s="2" t="s">
        <v>17</v>
      </c>
      <c r="M59" s="2" t="s">
        <v>19</v>
      </c>
      <c r="N59" s="2">
        <v>79</v>
      </c>
      <c r="O59" s="2" t="s">
        <v>20</v>
      </c>
      <c r="P59" s="2" t="str">
        <f t="shared" si="0"/>
        <v>Pass</v>
      </c>
    </row>
    <row r="60" spans="1:16" x14ac:dyDescent="0.3">
      <c r="A60" s="2" t="s">
        <v>137</v>
      </c>
      <c r="B60" s="2" t="s">
        <v>138</v>
      </c>
      <c r="C60" s="2">
        <v>10</v>
      </c>
      <c r="D60" s="2" t="s">
        <v>18</v>
      </c>
      <c r="E60" s="2">
        <v>92</v>
      </c>
      <c r="F60" s="2">
        <v>93</v>
      </c>
      <c r="G60" s="2">
        <v>57</v>
      </c>
      <c r="H60" s="2">
        <v>94</v>
      </c>
      <c r="I60" s="2">
        <v>60</v>
      </c>
      <c r="J60" s="2">
        <v>396</v>
      </c>
      <c r="K60" s="2">
        <v>79.2</v>
      </c>
      <c r="L60" s="2" t="s">
        <v>18</v>
      </c>
      <c r="M60" s="2" t="s">
        <v>19</v>
      </c>
      <c r="N60" s="2">
        <v>85</v>
      </c>
      <c r="O60" s="2" t="s">
        <v>20</v>
      </c>
      <c r="P60" s="2" t="str">
        <f t="shared" si="0"/>
        <v>Pass</v>
      </c>
    </row>
    <row r="61" spans="1:16" x14ac:dyDescent="0.3">
      <c r="A61" s="2" t="s">
        <v>139</v>
      </c>
      <c r="B61" s="2" t="s">
        <v>140</v>
      </c>
      <c r="C61" s="2">
        <v>10</v>
      </c>
      <c r="D61" s="2" t="s">
        <v>25</v>
      </c>
      <c r="E61" s="2">
        <v>97</v>
      </c>
      <c r="F61" s="2">
        <v>92</v>
      </c>
      <c r="G61" s="2">
        <v>91</v>
      </c>
      <c r="H61" s="2">
        <v>88</v>
      </c>
      <c r="I61" s="2">
        <v>75</v>
      </c>
      <c r="J61" s="2">
        <v>443</v>
      </c>
      <c r="K61" s="2">
        <v>88.6</v>
      </c>
      <c r="L61" s="2" t="s">
        <v>17</v>
      </c>
      <c r="M61" s="2" t="s">
        <v>19</v>
      </c>
      <c r="N61" s="2">
        <v>80</v>
      </c>
      <c r="O61" s="2" t="s">
        <v>20</v>
      </c>
      <c r="P61" s="2" t="str">
        <f t="shared" si="0"/>
        <v>Pass</v>
      </c>
    </row>
    <row r="62" spans="1:16" x14ac:dyDescent="0.3">
      <c r="A62" s="2" t="s">
        <v>141</v>
      </c>
      <c r="B62" s="2" t="s">
        <v>24</v>
      </c>
      <c r="C62" s="2">
        <v>10</v>
      </c>
      <c r="D62" s="2" t="s">
        <v>17</v>
      </c>
      <c r="E62" s="2">
        <v>68</v>
      </c>
      <c r="F62" s="2">
        <v>97</v>
      </c>
      <c r="G62" s="2">
        <v>75</v>
      </c>
      <c r="H62" s="2">
        <v>70</v>
      </c>
      <c r="I62" s="2">
        <v>71</v>
      </c>
      <c r="J62" s="2">
        <v>381</v>
      </c>
      <c r="K62" s="2">
        <v>76.2</v>
      </c>
      <c r="L62" s="2" t="s">
        <v>18</v>
      </c>
      <c r="M62" s="2" t="s">
        <v>19</v>
      </c>
      <c r="N62" s="2">
        <v>84</v>
      </c>
      <c r="O62" s="2" t="s">
        <v>20</v>
      </c>
      <c r="P62" s="2" t="str">
        <f t="shared" si="0"/>
        <v>Pass</v>
      </c>
    </row>
    <row r="63" spans="1:16" x14ac:dyDescent="0.3">
      <c r="A63" s="2" t="s">
        <v>142</v>
      </c>
      <c r="B63" s="2" t="s">
        <v>143</v>
      </c>
      <c r="C63" s="2">
        <v>10</v>
      </c>
      <c r="D63" s="2" t="s">
        <v>18</v>
      </c>
      <c r="E63" s="2">
        <v>63</v>
      </c>
      <c r="F63" s="2">
        <v>97</v>
      </c>
      <c r="G63" s="2">
        <v>96</v>
      </c>
      <c r="H63" s="2">
        <v>74</v>
      </c>
      <c r="I63" s="2">
        <v>84</v>
      </c>
      <c r="J63" s="2">
        <v>414</v>
      </c>
      <c r="K63" s="2">
        <v>82.8</v>
      </c>
      <c r="L63" s="2" t="s">
        <v>17</v>
      </c>
      <c r="M63" s="2" t="s">
        <v>19</v>
      </c>
      <c r="N63" s="2">
        <v>82</v>
      </c>
      <c r="O63" s="2" t="s">
        <v>20</v>
      </c>
      <c r="P63" s="2" t="str">
        <f t="shared" si="0"/>
        <v>Pass</v>
      </c>
    </row>
    <row r="64" spans="1:16" x14ac:dyDescent="0.3">
      <c r="A64" s="2" t="s">
        <v>144</v>
      </c>
      <c r="B64" s="2" t="s">
        <v>145</v>
      </c>
      <c r="C64" s="2">
        <v>10</v>
      </c>
      <c r="D64" s="2" t="s">
        <v>25</v>
      </c>
      <c r="E64" s="2">
        <v>59</v>
      </c>
      <c r="F64" s="2">
        <v>55</v>
      </c>
      <c r="G64" s="2">
        <v>84</v>
      </c>
      <c r="H64" s="2">
        <v>94</v>
      </c>
      <c r="I64" s="2">
        <v>91</v>
      </c>
      <c r="J64" s="2">
        <v>383</v>
      </c>
      <c r="K64" s="2">
        <v>76.599999999999994</v>
      </c>
      <c r="L64" s="2" t="s">
        <v>18</v>
      </c>
      <c r="M64" s="2" t="s">
        <v>19</v>
      </c>
      <c r="N64" s="2">
        <v>75</v>
      </c>
      <c r="O64" s="2" t="s">
        <v>20</v>
      </c>
      <c r="P64" s="2" t="str">
        <f t="shared" si="0"/>
        <v>Pass</v>
      </c>
    </row>
    <row r="65" spans="1:16" x14ac:dyDescent="0.3">
      <c r="A65" s="2" t="s">
        <v>146</v>
      </c>
      <c r="B65" s="2" t="s">
        <v>147</v>
      </c>
      <c r="C65" s="2">
        <v>10</v>
      </c>
      <c r="D65" s="2" t="s">
        <v>17</v>
      </c>
      <c r="E65" s="2">
        <v>59</v>
      </c>
      <c r="F65" s="2">
        <v>89</v>
      </c>
      <c r="G65" s="2">
        <v>68</v>
      </c>
      <c r="H65" s="2">
        <v>87</v>
      </c>
      <c r="I65" s="2">
        <v>71</v>
      </c>
      <c r="J65" s="2">
        <v>374</v>
      </c>
      <c r="K65" s="2">
        <v>74.8</v>
      </c>
      <c r="L65" s="2" t="s">
        <v>18</v>
      </c>
      <c r="M65" s="2" t="s">
        <v>19</v>
      </c>
      <c r="N65" s="2">
        <v>76</v>
      </c>
      <c r="O65" s="2" t="s">
        <v>20</v>
      </c>
      <c r="P65" s="2" t="str">
        <f t="shared" si="0"/>
        <v>Pass</v>
      </c>
    </row>
    <row r="66" spans="1:16" x14ac:dyDescent="0.3">
      <c r="A66" s="2" t="s">
        <v>148</v>
      </c>
      <c r="B66" s="2" t="s">
        <v>149</v>
      </c>
      <c r="C66" s="2">
        <v>10</v>
      </c>
      <c r="D66" s="2" t="s">
        <v>18</v>
      </c>
      <c r="E66" s="2">
        <v>77</v>
      </c>
      <c r="F66" s="2">
        <v>59</v>
      </c>
      <c r="G66" s="2">
        <v>70</v>
      </c>
      <c r="H66" s="2">
        <v>78</v>
      </c>
      <c r="I66" s="2">
        <v>73</v>
      </c>
      <c r="J66" s="2">
        <v>357</v>
      </c>
      <c r="K66" s="2">
        <v>71.400000000000006</v>
      </c>
      <c r="L66" s="2" t="s">
        <v>18</v>
      </c>
      <c r="M66" s="2" t="s">
        <v>19</v>
      </c>
      <c r="N66" s="2">
        <v>77</v>
      </c>
      <c r="O66" s="2" t="s">
        <v>20</v>
      </c>
      <c r="P66" s="2" t="str">
        <f t="shared" si="0"/>
        <v>Pass</v>
      </c>
    </row>
    <row r="67" spans="1:16" x14ac:dyDescent="0.3">
      <c r="A67" s="2" t="s">
        <v>150</v>
      </c>
      <c r="B67" s="2" t="s">
        <v>151</v>
      </c>
      <c r="C67" s="2">
        <v>10</v>
      </c>
      <c r="D67" s="2" t="s">
        <v>25</v>
      </c>
      <c r="E67" s="2">
        <v>83</v>
      </c>
      <c r="F67" s="2">
        <v>89</v>
      </c>
      <c r="G67" s="2">
        <v>74</v>
      </c>
      <c r="H67" s="2">
        <v>94</v>
      </c>
      <c r="I67" s="2">
        <v>96</v>
      </c>
      <c r="J67" s="2">
        <v>436</v>
      </c>
      <c r="K67" s="2">
        <v>87.2</v>
      </c>
      <c r="L67" s="2" t="s">
        <v>17</v>
      </c>
      <c r="M67" s="2" t="s">
        <v>19</v>
      </c>
      <c r="N67" s="2">
        <v>88</v>
      </c>
      <c r="O67" s="2" t="s">
        <v>20</v>
      </c>
      <c r="P67" s="2" t="str">
        <f t="shared" ref="P67:P103" si="1">IF(K67&gt;40,"Pass","Fail")</f>
        <v>Pass</v>
      </c>
    </row>
    <row r="68" spans="1:16" x14ac:dyDescent="0.3">
      <c r="A68" s="2" t="s">
        <v>152</v>
      </c>
      <c r="B68" s="2" t="s">
        <v>153</v>
      </c>
      <c r="C68" s="2">
        <v>10</v>
      </c>
      <c r="D68" s="2" t="s">
        <v>17</v>
      </c>
      <c r="E68" s="2">
        <v>55</v>
      </c>
      <c r="F68" s="2">
        <v>97</v>
      </c>
      <c r="G68" s="2">
        <v>90</v>
      </c>
      <c r="H68" s="2">
        <v>74</v>
      </c>
      <c r="I68" s="2">
        <v>97</v>
      </c>
      <c r="J68" s="2">
        <v>413</v>
      </c>
      <c r="K68" s="2">
        <v>82.6</v>
      </c>
      <c r="L68" s="2" t="s">
        <v>17</v>
      </c>
      <c r="M68" s="2" t="s">
        <v>19</v>
      </c>
      <c r="N68" s="2">
        <v>75</v>
      </c>
      <c r="O68" s="2" t="s">
        <v>20</v>
      </c>
      <c r="P68" s="2" t="str">
        <f t="shared" si="1"/>
        <v>Pass</v>
      </c>
    </row>
    <row r="69" spans="1:16" x14ac:dyDescent="0.3">
      <c r="A69" s="2" t="s">
        <v>154</v>
      </c>
      <c r="B69" s="2" t="s">
        <v>155</v>
      </c>
      <c r="C69" s="2">
        <v>10</v>
      </c>
      <c r="D69" s="2" t="s">
        <v>18</v>
      </c>
      <c r="E69" s="2">
        <v>63</v>
      </c>
      <c r="F69" s="2">
        <v>71</v>
      </c>
      <c r="G69" s="2">
        <v>62</v>
      </c>
      <c r="H69" s="2">
        <v>61</v>
      </c>
      <c r="I69" s="2">
        <v>90</v>
      </c>
      <c r="J69" s="2">
        <v>347</v>
      </c>
      <c r="K69" s="2">
        <v>69.400000000000006</v>
      </c>
      <c r="L69" s="2" t="s">
        <v>25</v>
      </c>
      <c r="M69" s="2" t="s">
        <v>19</v>
      </c>
      <c r="N69" s="2">
        <v>76</v>
      </c>
      <c r="O69" s="2" t="s">
        <v>20</v>
      </c>
      <c r="P69" s="2" t="str">
        <f t="shared" si="1"/>
        <v>Pass</v>
      </c>
    </row>
    <row r="70" spans="1:16" x14ac:dyDescent="0.3">
      <c r="A70" s="2" t="s">
        <v>156</v>
      </c>
      <c r="B70" s="2" t="s">
        <v>54</v>
      </c>
      <c r="C70" s="2">
        <v>10</v>
      </c>
      <c r="D70" s="2" t="s">
        <v>25</v>
      </c>
      <c r="E70" s="2">
        <v>72</v>
      </c>
      <c r="F70" s="2">
        <v>73</v>
      </c>
      <c r="G70" s="2">
        <v>93</v>
      </c>
      <c r="H70" s="2">
        <v>68</v>
      </c>
      <c r="I70" s="2">
        <v>76</v>
      </c>
      <c r="J70" s="2">
        <v>382</v>
      </c>
      <c r="K70" s="2">
        <v>76.400000000000006</v>
      </c>
      <c r="L70" s="2" t="s">
        <v>18</v>
      </c>
      <c r="M70" s="2" t="s">
        <v>19</v>
      </c>
      <c r="N70" s="2">
        <v>78</v>
      </c>
      <c r="O70" s="2" t="s">
        <v>20</v>
      </c>
      <c r="P70" s="2" t="str">
        <f t="shared" si="1"/>
        <v>Pass</v>
      </c>
    </row>
    <row r="71" spans="1:16" x14ac:dyDescent="0.3">
      <c r="A71" s="2" t="s">
        <v>157</v>
      </c>
      <c r="B71" s="2" t="s">
        <v>158</v>
      </c>
      <c r="C71" s="2">
        <v>10</v>
      </c>
      <c r="D71" s="2" t="s">
        <v>17</v>
      </c>
      <c r="E71" s="2">
        <v>98</v>
      </c>
      <c r="F71" s="2">
        <v>95</v>
      </c>
      <c r="G71" s="2">
        <v>71</v>
      </c>
      <c r="H71" s="2">
        <v>87</v>
      </c>
      <c r="I71" s="2">
        <v>86</v>
      </c>
      <c r="J71" s="2">
        <v>437</v>
      </c>
      <c r="K71" s="2">
        <v>87.4</v>
      </c>
      <c r="L71" s="2" t="s">
        <v>17</v>
      </c>
      <c r="M71" s="2" t="s">
        <v>19</v>
      </c>
      <c r="N71" s="2">
        <v>80</v>
      </c>
      <c r="O71" s="2" t="s">
        <v>20</v>
      </c>
      <c r="P71" s="2" t="str">
        <f t="shared" si="1"/>
        <v>Pass</v>
      </c>
    </row>
    <row r="72" spans="1:16" x14ac:dyDescent="0.3">
      <c r="A72" s="2" t="s">
        <v>159</v>
      </c>
      <c r="B72" s="2" t="s">
        <v>160</v>
      </c>
      <c r="C72" s="2">
        <v>10</v>
      </c>
      <c r="D72" s="2" t="s">
        <v>18</v>
      </c>
      <c r="E72" s="2">
        <v>58</v>
      </c>
      <c r="F72" s="2">
        <v>60</v>
      </c>
      <c r="G72" s="2">
        <v>95</v>
      </c>
      <c r="H72" s="2">
        <v>82</v>
      </c>
      <c r="I72" s="2">
        <v>72</v>
      </c>
      <c r="J72" s="2">
        <v>367</v>
      </c>
      <c r="K72" s="2">
        <v>73.400000000000006</v>
      </c>
      <c r="L72" s="2" t="s">
        <v>18</v>
      </c>
      <c r="M72" s="2" t="s">
        <v>19</v>
      </c>
      <c r="N72" s="2">
        <v>73</v>
      </c>
      <c r="O72" s="2" t="s">
        <v>38</v>
      </c>
      <c r="P72" s="2" t="str">
        <f t="shared" si="1"/>
        <v>Pass</v>
      </c>
    </row>
    <row r="73" spans="1:16" x14ac:dyDescent="0.3">
      <c r="A73" s="2" t="s">
        <v>161</v>
      </c>
      <c r="B73" s="2" t="s">
        <v>162</v>
      </c>
      <c r="C73" s="2">
        <v>10</v>
      </c>
      <c r="D73" s="2" t="s">
        <v>25</v>
      </c>
      <c r="E73" s="2">
        <v>55</v>
      </c>
      <c r="F73" s="2">
        <v>76</v>
      </c>
      <c r="G73" s="2">
        <v>63</v>
      </c>
      <c r="H73" s="2">
        <v>95</v>
      </c>
      <c r="I73" s="2">
        <v>71</v>
      </c>
      <c r="J73" s="2">
        <v>360</v>
      </c>
      <c r="K73" s="2">
        <v>72</v>
      </c>
      <c r="L73" s="2" t="s">
        <v>18</v>
      </c>
      <c r="M73" s="2" t="s">
        <v>19</v>
      </c>
      <c r="N73" s="2">
        <v>77</v>
      </c>
      <c r="O73" s="2" t="s">
        <v>20</v>
      </c>
      <c r="P73" s="2" t="str">
        <f t="shared" si="1"/>
        <v>Pass</v>
      </c>
    </row>
    <row r="74" spans="1:16" x14ac:dyDescent="0.3">
      <c r="A74" s="2" t="s">
        <v>163</v>
      </c>
      <c r="B74" s="2" t="s">
        <v>164</v>
      </c>
      <c r="C74" s="2">
        <v>10</v>
      </c>
      <c r="D74" s="2" t="s">
        <v>17</v>
      </c>
      <c r="E74" s="2">
        <v>83</v>
      </c>
      <c r="F74" s="2">
        <v>90</v>
      </c>
      <c r="G74" s="2">
        <v>82</v>
      </c>
      <c r="H74" s="2">
        <v>90</v>
      </c>
      <c r="I74" s="2">
        <v>55</v>
      </c>
      <c r="J74" s="2">
        <v>400</v>
      </c>
      <c r="K74" s="2">
        <v>80</v>
      </c>
      <c r="L74" s="2" t="s">
        <v>17</v>
      </c>
      <c r="M74" s="2" t="s">
        <v>19</v>
      </c>
      <c r="N74" s="2">
        <v>75</v>
      </c>
      <c r="O74" s="2" t="s">
        <v>20</v>
      </c>
      <c r="P74" s="2" t="str">
        <f t="shared" si="1"/>
        <v>Pass</v>
      </c>
    </row>
    <row r="75" spans="1:16" x14ac:dyDescent="0.3">
      <c r="A75" s="2" t="s">
        <v>165</v>
      </c>
      <c r="B75" s="2" t="s">
        <v>166</v>
      </c>
      <c r="C75" s="2">
        <v>10</v>
      </c>
      <c r="D75" s="2" t="s">
        <v>18</v>
      </c>
      <c r="E75" s="2">
        <v>59</v>
      </c>
      <c r="F75" s="2">
        <v>64</v>
      </c>
      <c r="G75" s="2">
        <v>89</v>
      </c>
      <c r="H75" s="2">
        <v>57</v>
      </c>
      <c r="I75" s="2">
        <v>78</v>
      </c>
      <c r="J75" s="2">
        <v>347</v>
      </c>
      <c r="K75" s="2">
        <v>69.400000000000006</v>
      </c>
      <c r="L75" s="2" t="s">
        <v>25</v>
      </c>
      <c r="M75" s="2" t="s">
        <v>19</v>
      </c>
      <c r="N75" s="2">
        <v>90</v>
      </c>
      <c r="O75" s="2" t="s">
        <v>20</v>
      </c>
      <c r="P75" s="2" t="str">
        <f t="shared" si="1"/>
        <v>Pass</v>
      </c>
    </row>
    <row r="76" spans="1:16" x14ac:dyDescent="0.3">
      <c r="A76" s="2" t="s">
        <v>167</v>
      </c>
      <c r="B76" s="2" t="s">
        <v>168</v>
      </c>
      <c r="C76" s="2">
        <v>10</v>
      </c>
      <c r="D76" s="2" t="s">
        <v>25</v>
      </c>
      <c r="E76" s="2">
        <v>90</v>
      </c>
      <c r="F76" s="2">
        <v>64</v>
      </c>
      <c r="G76" s="2">
        <v>82</v>
      </c>
      <c r="H76" s="2">
        <v>63</v>
      </c>
      <c r="I76" s="2">
        <v>57</v>
      </c>
      <c r="J76" s="2">
        <v>356</v>
      </c>
      <c r="K76" s="2">
        <v>71.2</v>
      </c>
      <c r="L76" s="2" t="s">
        <v>18</v>
      </c>
      <c r="M76" s="2" t="s">
        <v>19</v>
      </c>
      <c r="N76" s="2">
        <v>81</v>
      </c>
      <c r="O76" s="2" t="s">
        <v>20</v>
      </c>
      <c r="P76" s="2" t="str">
        <f t="shared" si="1"/>
        <v>Pass</v>
      </c>
    </row>
    <row r="77" spans="1:16" x14ac:dyDescent="0.3">
      <c r="A77" s="2" t="s">
        <v>169</v>
      </c>
      <c r="B77" s="2" t="s">
        <v>170</v>
      </c>
      <c r="C77" s="2">
        <v>10</v>
      </c>
      <c r="D77" s="2" t="s">
        <v>17</v>
      </c>
      <c r="E77" s="2">
        <v>78</v>
      </c>
      <c r="F77" s="2">
        <v>57</v>
      </c>
      <c r="G77" s="2">
        <v>77</v>
      </c>
      <c r="H77" s="2">
        <v>68</v>
      </c>
      <c r="I77" s="2">
        <v>98</v>
      </c>
      <c r="J77" s="2">
        <v>378</v>
      </c>
      <c r="K77" s="2">
        <v>75.599999999999994</v>
      </c>
      <c r="L77" s="2" t="s">
        <v>18</v>
      </c>
      <c r="M77" s="2" t="s">
        <v>19</v>
      </c>
      <c r="N77" s="2">
        <v>79</v>
      </c>
      <c r="O77" s="2" t="s">
        <v>20</v>
      </c>
      <c r="P77" s="2" t="str">
        <f t="shared" si="1"/>
        <v>Pass</v>
      </c>
    </row>
    <row r="78" spans="1:16" x14ac:dyDescent="0.3">
      <c r="A78" s="2" t="s">
        <v>171</v>
      </c>
      <c r="B78" s="2" t="s">
        <v>172</v>
      </c>
      <c r="C78" s="2">
        <v>10</v>
      </c>
      <c r="D78" s="2" t="s">
        <v>18</v>
      </c>
      <c r="E78" s="2">
        <v>97</v>
      </c>
      <c r="F78" s="2">
        <v>61</v>
      </c>
      <c r="G78" s="2">
        <v>77</v>
      </c>
      <c r="H78" s="2">
        <v>90</v>
      </c>
      <c r="I78" s="2">
        <v>81</v>
      </c>
      <c r="J78" s="2">
        <v>406</v>
      </c>
      <c r="K78" s="2">
        <v>81.2</v>
      </c>
      <c r="L78" s="2" t="s">
        <v>17</v>
      </c>
      <c r="M78" s="2" t="s">
        <v>19</v>
      </c>
      <c r="N78" s="2">
        <v>91</v>
      </c>
      <c r="O78" s="2" t="s">
        <v>20</v>
      </c>
      <c r="P78" s="2" t="str">
        <f t="shared" si="1"/>
        <v>Pass</v>
      </c>
    </row>
    <row r="79" spans="1:16" x14ac:dyDescent="0.3">
      <c r="A79" s="2" t="s">
        <v>173</v>
      </c>
      <c r="B79" s="2" t="s">
        <v>174</v>
      </c>
      <c r="C79" s="2">
        <v>10</v>
      </c>
      <c r="D79" s="2" t="s">
        <v>25</v>
      </c>
      <c r="E79" s="2">
        <v>64</v>
      </c>
      <c r="F79" s="2">
        <v>70</v>
      </c>
      <c r="G79" s="2">
        <v>65</v>
      </c>
      <c r="H79" s="2">
        <v>66</v>
      </c>
      <c r="I79" s="2">
        <v>81</v>
      </c>
      <c r="J79" s="2">
        <v>346</v>
      </c>
      <c r="K79" s="2">
        <v>69.2</v>
      </c>
      <c r="L79" s="2" t="s">
        <v>25</v>
      </c>
      <c r="M79" s="2" t="s">
        <v>19</v>
      </c>
      <c r="N79" s="2">
        <v>72</v>
      </c>
      <c r="O79" s="2" t="s">
        <v>38</v>
      </c>
      <c r="P79" s="2" t="str">
        <f t="shared" si="1"/>
        <v>Pass</v>
      </c>
    </row>
    <row r="80" spans="1:16" x14ac:dyDescent="0.3">
      <c r="A80" s="2" t="s">
        <v>175</v>
      </c>
      <c r="B80" s="2" t="s">
        <v>176</v>
      </c>
      <c r="C80" s="2">
        <v>10</v>
      </c>
      <c r="D80" s="2" t="s">
        <v>17</v>
      </c>
      <c r="E80" s="2">
        <v>66</v>
      </c>
      <c r="F80" s="2">
        <v>76</v>
      </c>
      <c r="G80" s="2">
        <v>81</v>
      </c>
      <c r="H80" s="2">
        <v>97</v>
      </c>
      <c r="I80" s="2">
        <v>70</v>
      </c>
      <c r="J80" s="2">
        <v>390</v>
      </c>
      <c r="K80" s="2">
        <v>78</v>
      </c>
      <c r="L80" s="2" t="s">
        <v>18</v>
      </c>
      <c r="M80" s="2" t="s">
        <v>19</v>
      </c>
      <c r="N80" s="2">
        <v>80</v>
      </c>
      <c r="O80" s="2" t="s">
        <v>20</v>
      </c>
      <c r="P80" s="2" t="str">
        <f t="shared" si="1"/>
        <v>Pass</v>
      </c>
    </row>
    <row r="81" spans="1:16" x14ac:dyDescent="0.3">
      <c r="A81" s="2" t="s">
        <v>177</v>
      </c>
      <c r="B81" s="2" t="s">
        <v>178</v>
      </c>
      <c r="C81" s="2">
        <v>10</v>
      </c>
      <c r="D81" s="2" t="s">
        <v>18</v>
      </c>
      <c r="E81" s="2">
        <v>65</v>
      </c>
      <c r="F81" s="2">
        <v>61</v>
      </c>
      <c r="G81" s="2">
        <v>79</v>
      </c>
      <c r="H81" s="2">
        <v>57</v>
      </c>
      <c r="I81" s="2">
        <v>85</v>
      </c>
      <c r="J81" s="2">
        <v>347</v>
      </c>
      <c r="K81" s="2">
        <v>69.400000000000006</v>
      </c>
      <c r="L81" s="2" t="s">
        <v>25</v>
      </c>
      <c r="M81" s="2" t="s">
        <v>19</v>
      </c>
      <c r="N81" s="2">
        <v>79</v>
      </c>
      <c r="O81" s="2" t="s">
        <v>20</v>
      </c>
      <c r="P81" s="2" t="str">
        <f t="shared" si="1"/>
        <v>Pass</v>
      </c>
    </row>
    <row r="82" spans="1:16" x14ac:dyDescent="0.3">
      <c r="A82" s="2" t="s">
        <v>179</v>
      </c>
      <c r="B82" s="2" t="s">
        <v>180</v>
      </c>
      <c r="C82" s="2">
        <v>10</v>
      </c>
      <c r="D82" s="2" t="s">
        <v>25</v>
      </c>
      <c r="E82" s="2">
        <v>67</v>
      </c>
      <c r="F82" s="2">
        <v>84</v>
      </c>
      <c r="G82" s="2">
        <v>77</v>
      </c>
      <c r="H82" s="2">
        <v>74</v>
      </c>
      <c r="I82" s="2">
        <v>69</v>
      </c>
      <c r="J82" s="2">
        <v>371</v>
      </c>
      <c r="K82" s="2">
        <v>74.2</v>
      </c>
      <c r="L82" s="2" t="s">
        <v>18</v>
      </c>
      <c r="M82" s="2" t="s">
        <v>19</v>
      </c>
      <c r="N82" s="2">
        <v>79</v>
      </c>
      <c r="O82" s="2" t="s">
        <v>20</v>
      </c>
      <c r="P82" s="2" t="str">
        <f t="shared" si="1"/>
        <v>Pass</v>
      </c>
    </row>
    <row r="83" spans="1:16" x14ac:dyDescent="0.3">
      <c r="A83" s="2" t="s">
        <v>181</v>
      </c>
      <c r="B83" s="2" t="s">
        <v>182</v>
      </c>
      <c r="C83" s="2">
        <v>10</v>
      </c>
      <c r="D83" s="2" t="s">
        <v>17</v>
      </c>
      <c r="E83" s="2">
        <v>56</v>
      </c>
      <c r="F83" s="2">
        <v>97</v>
      </c>
      <c r="G83" s="2">
        <v>67</v>
      </c>
      <c r="H83" s="2">
        <v>80</v>
      </c>
      <c r="I83" s="2">
        <v>76</v>
      </c>
      <c r="J83" s="2">
        <v>376</v>
      </c>
      <c r="K83" s="2">
        <v>75.2</v>
      </c>
      <c r="L83" s="2" t="s">
        <v>18</v>
      </c>
      <c r="M83" s="2" t="s">
        <v>19</v>
      </c>
      <c r="N83" s="2">
        <v>80</v>
      </c>
      <c r="O83" s="2" t="s">
        <v>20</v>
      </c>
      <c r="P83" s="2" t="str">
        <f t="shared" si="1"/>
        <v>Pass</v>
      </c>
    </row>
    <row r="84" spans="1:16" x14ac:dyDescent="0.3">
      <c r="A84" s="2" t="s">
        <v>183</v>
      </c>
      <c r="B84" s="2" t="s">
        <v>90</v>
      </c>
      <c r="C84" s="2">
        <v>10</v>
      </c>
      <c r="D84" s="2" t="s">
        <v>18</v>
      </c>
      <c r="E84" s="2">
        <v>59</v>
      </c>
      <c r="F84" s="2">
        <v>72</v>
      </c>
      <c r="G84" s="2">
        <v>77</v>
      </c>
      <c r="H84" s="2">
        <v>96</v>
      </c>
      <c r="I84" s="2">
        <v>87</v>
      </c>
      <c r="J84" s="2">
        <v>391</v>
      </c>
      <c r="K84" s="2">
        <v>78.2</v>
      </c>
      <c r="L84" s="2" t="s">
        <v>18</v>
      </c>
      <c r="M84" s="2" t="s">
        <v>19</v>
      </c>
      <c r="N84" s="2">
        <v>84</v>
      </c>
      <c r="O84" s="2" t="s">
        <v>20</v>
      </c>
      <c r="P84" s="2" t="str">
        <f t="shared" si="1"/>
        <v>Pass</v>
      </c>
    </row>
    <row r="85" spans="1:16" x14ac:dyDescent="0.3">
      <c r="A85" s="2" t="s">
        <v>184</v>
      </c>
      <c r="B85" s="2" t="s">
        <v>185</v>
      </c>
      <c r="C85" s="2">
        <v>10</v>
      </c>
      <c r="D85" s="2" t="s">
        <v>25</v>
      </c>
      <c r="E85" s="2">
        <v>98</v>
      </c>
      <c r="F85" s="2">
        <v>89</v>
      </c>
      <c r="G85" s="2">
        <v>76</v>
      </c>
      <c r="H85" s="2">
        <v>56</v>
      </c>
      <c r="I85" s="2">
        <v>62</v>
      </c>
      <c r="J85" s="2">
        <v>381</v>
      </c>
      <c r="K85" s="2">
        <v>76.2</v>
      </c>
      <c r="L85" s="2" t="s">
        <v>18</v>
      </c>
      <c r="M85" s="2" t="s">
        <v>19</v>
      </c>
      <c r="N85" s="2">
        <v>100</v>
      </c>
      <c r="O85" s="2" t="s">
        <v>20</v>
      </c>
      <c r="P85" s="2" t="str">
        <f t="shared" si="1"/>
        <v>Pass</v>
      </c>
    </row>
    <row r="86" spans="1:16" x14ac:dyDescent="0.3">
      <c r="A86" s="2" t="s">
        <v>186</v>
      </c>
      <c r="B86" s="2" t="s">
        <v>187</v>
      </c>
      <c r="C86" s="2">
        <v>10</v>
      </c>
      <c r="D86" s="2" t="s">
        <v>17</v>
      </c>
      <c r="E86" s="2">
        <v>71</v>
      </c>
      <c r="F86" s="2">
        <v>66</v>
      </c>
      <c r="G86" s="2">
        <v>92</v>
      </c>
      <c r="H86" s="2">
        <v>71</v>
      </c>
      <c r="I86" s="2">
        <v>57</v>
      </c>
      <c r="J86" s="2">
        <v>357</v>
      </c>
      <c r="K86" s="2">
        <v>71.400000000000006</v>
      </c>
      <c r="L86" s="2" t="s">
        <v>18</v>
      </c>
      <c r="M86" s="2" t="s">
        <v>19</v>
      </c>
      <c r="N86" s="2">
        <v>75</v>
      </c>
      <c r="O86" s="2" t="s">
        <v>20</v>
      </c>
      <c r="P86" s="2" t="str">
        <f t="shared" si="1"/>
        <v>Pass</v>
      </c>
    </row>
    <row r="87" spans="1:16" x14ac:dyDescent="0.3">
      <c r="A87" s="2" t="s">
        <v>188</v>
      </c>
      <c r="B87" s="2" t="s">
        <v>189</v>
      </c>
      <c r="C87" s="2">
        <v>10</v>
      </c>
      <c r="D87" s="2" t="s">
        <v>18</v>
      </c>
      <c r="E87" s="2">
        <v>93</v>
      </c>
      <c r="F87" s="2">
        <v>82</v>
      </c>
      <c r="G87" s="2">
        <v>77</v>
      </c>
      <c r="H87" s="2">
        <v>75</v>
      </c>
      <c r="I87" s="2">
        <v>82</v>
      </c>
      <c r="J87" s="2">
        <v>409</v>
      </c>
      <c r="K87" s="2">
        <v>81.8</v>
      </c>
      <c r="L87" s="2" t="s">
        <v>17</v>
      </c>
      <c r="M87" s="2" t="s">
        <v>19</v>
      </c>
      <c r="N87" s="2">
        <v>91</v>
      </c>
      <c r="O87" s="2" t="s">
        <v>20</v>
      </c>
      <c r="P87" s="2" t="str">
        <f t="shared" si="1"/>
        <v>Pass</v>
      </c>
    </row>
    <row r="88" spans="1:16" x14ac:dyDescent="0.3">
      <c r="A88" s="2" t="s">
        <v>190</v>
      </c>
      <c r="B88" s="2" t="s">
        <v>191</v>
      </c>
      <c r="C88" s="2">
        <v>10</v>
      </c>
      <c r="D88" s="2" t="s">
        <v>25</v>
      </c>
      <c r="E88" s="2">
        <v>87</v>
      </c>
      <c r="F88" s="2">
        <v>62</v>
      </c>
      <c r="G88" s="2">
        <v>79</v>
      </c>
      <c r="H88" s="2">
        <v>91</v>
      </c>
      <c r="I88" s="2">
        <v>67</v>
      </c>
      <c r="J88" s="2">
        <v>386</v>
      </c>
      <c r="K88" s="2">
        <v>77.2</v>
      </c>
      <c r="L88" s="2" t="s">
        <v>18</v>
      </c>
      <c r="M88" s="2" t="s">
        <v>19</v>
      </c>
      <c r="N88" s="2">
        <v>80</v>
      </c>
      <c r="O88" s="2" t="s">
        <v>20</v>
      </c>
      <c r="P88" s="2" t="str">
        <f t="shared" si="1"/>
        <v>Pass</v>
      </c>
    </row>
    <row r="89" spans="1:16" x14ac:dyDescent="0.3">
      <c r="A89" s="2" t="s">
        <v>192</v>
      </c>
      <c r="B89" s="2" t="s">
        <v>166</v>
      </c>
      <c r="C89" s="2">
        <v>10</v>
      </c>
      <c r="D89" s="2" t="s">
        <v>17</v>
      </c>
      <c r="E89" s="2">
        <v>57</v>
      </c>
      <c r="F89" s="2">
        <v>82</v>
      </c>
      <c r="G89" s="2">
        <v>55</v>
      </c>
      <c r="H89" s="2">
        <v>88</v>
      </c>
      <c r="I89" s="2">
        <v>89</v>
      </c>
      <c r="J89" s="2">
        <v>371</v>
      </c>
      <c r="K89" s="2">
        <v>74.2</v>
      </c>
      <c r="L89" s="2" t="s">
        <v>18</v>
      </c>
      <c r="M89" s="2" t="s">
        <v>19</v>
      </c>
      <c r="N89" s="2">
        <v>93</v>
      </c>
      <c r="O89" s="2" t="s">
        <v>20</v>
      </c>
      <c r="P89" s="2" t="str">
        <f t="shared" si="1"/>
        <v>Pass</v>
      </c>
    </row>
    <row r="90" spans="1:16" x14ac:dyDescent="0.3">
      <c r="A90" s="2" t="s">
        <v>193</v>
      </c>
      <c r="B90" s="2" t="s">
        <v>194</v>
      </c>
      <c r="C90" s="2">
        <v>10</v>
      </c>
      <c r="D90" s="2" t="s">
        <v>18</v>
      </c>
      <c r="E90" s="2">
        <v>97</v>
      </c>
      <c r="F90" s="2">
        <v>67</v>
      </c>
      <c r="G90" s="2">
        <v>78</v>
      </c>
      <c r="H90" s="2">
        <v>82</v>
      </c>
      <c r="I90" s="2">
        <v>59</v>
      </c>
      <c r="J90" s="2">
        <v>383</v>
      </c>
      <c r="K90" s="2">
        <v>76.599999999999994</v>
      </c>
      <c r="L90" s="2" t="s">
        <v>18</v>
      </c>
      <c r="M90" s="2" t="s">
        <v>19</v>
      </c>
      <c r="N90" s="2">
        <v>93</v>
      </c>
      <c r="O90" s="2" t="s">
        <v>20</v>
      </c>
      <c r="P90" s="2" t="str">
        <f t="shared" si="1"/>
        <v>Pass</v>
      </c>
    </row>
    <row r="91" spans="1:16" x14ac:dyDescent="0.3">
      <c r="A91" s="2" t="s">
        <v>195</v>
      </c>
      <c r="B91" s="2" t="s">
        <v>52</v>
      </c>
      <c r="C91" s="2">
        <v>10</v>
      </c>
      <c r="D91" s="2" t="s">
        <v>25</v>
      </c>
      <c r="E91" s="2">
        <v>76</v>
      </c>
      <c r="F91" s="2">
        <v>94</v>
      </c>
      <c r="G91" s="2">
        <v>75</v>
      </c>
      <c r="H91" s="2">
        <v>97</v>
      </c>
      <c r="I91" s="2">
        <v>62</v>
      </c>
      <c r="J91" s="2">
        <v>404</v>
      </c>
      <c r="K91" s="2">
        <v>80.8</v>
      </c>
      <c r="L91" s="2" t="s">
        <v>17</v>
      </c>
      <c r="M91" s="2" t="s">
        <v>19</v>
      </c>
      <c r="N91" s="2">
        <v>95</v>
      </c>
      <c r="O91" s="2" t="s">
        <v>20</v>
      </c>
      <c r="P91" s="2" t="str">
        <f t="shared" si="1"/>
        <v>Pass</v>
      </c>
    </row>
    <row r="92" spans="1:16" x14ac:dyDescent="0.3">
      <c r="A92" s="2" t="s">
        <v>196</v>
      </c>
      <c r="B92" s="2" t="s">
        <v>197</v>
      </c>
      <c r="C92" s="2">
        <v>10</v>
      </c>
      <c r="D92" s="2" t="s">
        <v>17</v>
      </c>
      <c r="E92" s="2">
        <v>74</v>
      </c>
      <c r="F92" s="2">
        <v>87</v>
      </c>
      <c r="G92" s="2">
        <v>74</v>
      </c>
      <c r="H92" s="2">
        <v>97</v>
      </c>
      <c r="I92" s="2">
        <v>81</v>
      </c>
      <c r="J92" s="2">
        <v>413</v>
      </c>
      <c r="K92" s="2">
        <v>82.6</v>
      </c>
      <c r="L92" s="2" t="s">
        <v>17</v>
      </c>
      <c r="M92" s="2" t="s">
        <v>19</v>
      </c>
      <c r="N92" s="2">
        <v>82</v>
      </c>
      <c r="O92" s="2" t="s">
        <v>20</v>
      </c>
      <c r="P92" s="2" t="str">
        <f t="shared" si="1"/>
        <v>Pass</v>
      </c>
    </row>
    <row r="93" spans="1:16" x14ac:dyDescent="0.3">
      <c r="A93" s="2" t="s">
        <v>198</v>
      </c>
      <c r="B93" s="2" t="s">
        <v>199</v>
      </c>
      <c r="C93" s="2">
        <v>10</v>
      </c>
      <c r="D93" s="2" t="s">
        <v>18</v>
      </c>
      <c r="E93" s="2">
        <v>80</v>
      </c>
      <c r="F93" s="2">
        <v>73</v>
      </c>
      <c r="G93" s="2">
        <v>90</v>
      </c>
      <c r="H93" s="2">
        <v>63</v>
      </c>
      <c r="I93" s="2">
        <v>67</v>
      </c>
      <c r="J93" s="2">
        <v>373</v>
      </c>
      <c r="K93" s="2">
        <v>74.599999999999994</v>
      </c>
      <c r="L93" s="2" t="s">
        <v>18</v>
      </c>
      <c r="M93" s="2" t="s">
        <v>19</v>
      </c>
      <c r="N93" s="2">
        <v>85</v>
      </c>
      <c r="O93" s="2" t="s">
        <v>20</v>
      </c>
      <c r="P93" s="2" t="str">
        <f t="shared" si="1"/>
        <v>Pass</v>
      </c>
    </row>
    <row r="94" spans="1:16" x14ac:dyDescent="0.3">
      <c r="A94" s="2" t="s">
        <v>200</v>
      </c>
      <c r="B94" s="2" t="s">
        <v>42</v>
      </c>
      <c r="C94" s="2">
        <v>10</v>
      </c>
      <c r="D94" s="2" t="s">
        <v>25</v>
      </c>
      <c r="E94" s="2">
        <v>97</v>
      </c>
      <c r="F94" s="2">
        <v>79</v>
      </c>
      <c r="G94" s="2">
        <v>98</v>
      </c>
      <c r="H94" s="2">
        <v>66</v>
      </c>
      <c r="I94" s="2">
        <v>94</v>
      </c>
      <c r="J94" s="2">
        <v>434</v>
      </c>
      <c r="K94" s="2">
        <v>86.8</v>
      </c>
      <c r="L94" s="2" t="s">
        <v>17</v>
      </c>
      <c r="M94" s="2" t="s">
        <v>19</v>
      </c>
      <c r="N94" s="2">
        <v>90</v>
      </c>
      <c r="O94" s="2" t="s">
        <v>20</v>
      </c>
      <c r="P94" s="2" t="str">
        <f t="shared" si="1"/>
        <v>Pass</v>
      </c>
    </row>
    <row r="95" spans="1:16" x14ac:dyDescent="0.3">
      <c r="A95" s="2" t="s">
        <v>201</v>
      </c>
      <c r="B95" s="2" t="s">
        <v>202</v>
      </c>
      <c r="C95" s="2">
        <v>10</v>
      </c>
      <c r="D95" s="2" t="s">
        <v>17</v>
      </c>
      <c r="E95" s="2">
        <v>74</v>
      </c>
      <c r="F95" s="2">
        <v>80</v>
      </c>
      <c r="G95" s="2">
        <v>90</v>
      </c>
      <c r="H95" s="2">
        <v>55</v>
      </c>
      <c r="I95" s="2">
        <v>74</v>
      </c>
      <c r="J95" s="2">
        <v>373</v>
      </c>
      <c r="K95" s="2">
        <v>74.599999999999994</v>
      </c>
      <c r="L95" s="2" t="s">
        <v>18</v>
      </c>
      <c r="M95" s="2" t="s">
        <v>19</v>
      </c>
      <c r="N95" s="2">
        <v>81</v>
      </c>
      <c r="O95" s="2" t="s">
        <v>20</v>
      </c>
      <c r="P95" s="2" t="str">
        <f t="shared" si="1"/>
        <v>Pass</v>
      </c>
    </row>
    <row r="96" spans="1:16" x14ac:dyDescent="0.3">
      <c r="A96" s="2" t="s">
        <v>203</v>
      </c>
      <c r="B96" s="2" t="s">
        <v>66</v>
      </c>
      <c r="C96" s="2">
        <v>10</v>
      </c>
      <c r="D96" s="2" t="s">
        <v>18</v>
      </c>
      <c r="E96" s="2">
        <v>68</v>
      </c>
      <c r="F96" s="2">
        <v>82</v>
      </c>
      <c r="G96" s="2">
        <v>92</v>
      </c>
      <c r="H96" s="2">
        <v>93</v>
      </c>
      <c r="I96" s="2">
        <v>96</v>
      </c>
      <c r="J96" s="2">
        <v>431</v>
      </c>
      <c r="K96" s="2">
        <v>86.2</v>
      </c>
      <c r="L96" s="2" t="s">
        <v>17</v>
      </c>
      <c r="M96" s="2" t="s">
        <v>19</v>
      </c>
      <c r="N96" s="2">
        <v>82</v>
      </c>
      <c r="O96" s="2" t="s">
        <v>20</v>
      </c>
      <c r="P96" s="2" t="str">
        <f t="shared" si="1"/>
        <v>Pass</v>
      </c>
    </row>
    <row r="97" spans="1:16" x14ac:dyDescent="0.3">
      <c r="A97" s="2" t="s">
        <v>204</v>
      </c>
      <c r="B97" s="2" t="s">
        <v>205</v>
      </c>
      <c r="C97" s="2">
        <v>10</v>
      </c>
      <c r="D97" s="2" t="s">
        <v>25</v>
      </c>
      <c r="E97" s="2">
        <v>84</v>
      </c>
      <c r="F97" s="2">
        <v>83</v>
      </c>
      <c r="G97" s="2">
        <v>83</v>
      </c>
      <c r="H97" s="2">
        <v>98</v>
      </c>
      <c r="I97" s="2">
        <v>68</v>
      </c>
      <c r="J97" s="2">
        <v>416</v>
      </c>
      <c r="K97" s="2">
        <v>83.2</v>
      </c>
      <c r="L97" s="2" t="s">
        <v>17</v>
      </c>
      <c r="M97" s="2" t="s">
        <v>19</v>
      </c>
      <c r="N97" s="2">
        <v>88</v>
      </c>
      <c r="O97" s="2" t="s">
        <v>20</v>
      </c>
      <c r="P97" s="2" t="str">
        <f t="shared" si="1"/>
        <v>Pass</v>
      </c>
    </row>
    <row r="98" spans="1:16" x14ac:dyDescent="0.3">
      <c r="A98" s="2" t="s">
        <v>206</v>
      </c>
      <c r="B98" s="2" t="s">
        <v>207</v>
      </c>
      <c r="C98" s="2">
        <v>10</v>
      </c>
      <c r="D98" s="2" t="s">
        <v>17</v>
      </c>
      <c r="E98" s="2">
        <v>85</v>
      </c>
      <c r="F98" s="2">
        <v>65</v>
      </c>
      <c r="G98" s="2">
        <v>97</v>
      </c>
      <c r="H98" s="2">
        <v>60</v>
      </c>
      <c r="I98" s="2">
        <v>73</v>
      </c>
      <c r="J98" s="2">
        <v>380</v>
      </c>
      <c r="K98" s="2">
        <v>76</v>
      </c>
      <c r="L98" s="2" t="s">
        <v>18</v>
      </c>
      <c r="M98" s="2" t="s">
        <v>19</v>
      </c>
      <c r="N98" s="2">
        <v>88</v>
      </c>
      <c r="O98" s="2" t="s">
        <v>20</v>
      </c>
      <c r="P98" s="2" t="str">
        <f t="shared" si="1"/>
        <v>Pass</v>
      </c>
    </row>
    <row r="99" spans="1:16" x14ac:dyDescent="0.3">
      <c r="A99" s="2" t="s">
        <v>208</v>
      </c>
      <c r="B99" s="2" t="s">
        <v>209</v>
      </c>
      <c r="C99" s="2">
        <v>10</v>
      </c>
      <c r="D99" s="2" t="s">
        <v>18</v>
      </c>
      <c r="E99" s="2">
        <v>97</v>
      </c>
      <c r="F99" s="2">
        <v>95</v>
      </c>
      <c r="G99" s="2">
        <v>94</v>
      </c>
      <c r="H99" s="2">
        <v>76</v>
      </c>
      <c r="I99" s="2">
        <v>60</v>
      </c>
      <c r="J99" s="2">
        <v>422</v>
      </c>
      <c r="K99" s="2">
        <v>84.4</v>
      </c>
      <c r="L99" s="2" t="s">
        <v>17</v>
      </c>
      <c r="M99" s="2" t="s">
        <v>19</v>
      </c>
      <c r="N99" s="2">
        <v>98</v>
      </c>
      <c r="O99" s="2" t="s">
        <v>20</v>
      </c>
      <c r="P99" s="2" t="str">
        <f t="shared" si="1"/>
        <v>Pass</v>
      </c>
    </row>
    <row r="100" spans="1:16" x14ac:dyDescent="0.3">
      <c r="A100" s="2" t="s">
        <v>210</v>
      </c>
      <c r="B100" s="2" t="s">
        <v>211</v>
      </c>
      <c r="C100" s="2">
        <v>10</v>
      </c>
      <c r="D100" s="2" t="s">
        <v>25</v>
      </c>
      <c r="E100" s="2">
        <v>70</v>
      </c>
      <c r="F100" s="2">
        <v>98</v>
      </c>
      <c r="G100" s="2">
        <v>74</v>
      </c>
      <c r="H100" s="2">
        <v>69</v>
      </c>
      <c r="I100" s="2">
        <v>67</v>
      </c>
      <c r="J100" s="2">
        <v>378</v>
      </c>
      <c r="K100" s="2">
        <v>75.599999999999994</v>
      </c>
      <c r="L100" s="2" t="s">
        <v>18</v>
      </c>
      <c r="M100" s="2" t="s">
        <v>19</v>
      </c>
      <c r="N100" s="2">
        <v>76</v>
      </c>
      <c r="O100" s="2" t="s">
        <v>20</v>
      </c>
      <c r="P100" s="2" t="str">
        <f t="shared" si="1"/>
        <v>Pass</v>
      </c>
    </row>
    <row r="101" spans="1:16" x14ac:dyDescent="0.3">
      <c r="A101" s="2" t="s">
        <v>212</v>
      </c>
      <c r="B101" s="2" t="s">
        <v>213</v>
      </c>
      <c r="C101" s="2">
        <v>10</v>
      </c>
      <c r="D101" s="2" t="s">
        <v>17</v>
      </c>
      <c r="E101" s="2">
        <v>56</v>
      </c>
      <c r="F101" s="2">
        <v>57</v>
      </c>
      <c r="G101" s="2">
        <v>70</v>
      </c>
      <c r="H101" s="2">
        <v>85</v>
      </c>
      <c r="I101" s="2">
        <v>94</v>
      </c>
      <c r="J101" s="2">
        <v>362</v>
      </c>
      <c r="K101" s="2">
        <v>72.400000000000006</v>
      </c>
      <c r="L101" s="2" t="s">
        <v>18</v>
      </c>
      <c r="M101" s="2" t="s">
        <v>19</v>
      </c>
      <c r="N101" s="2">
        <v>99</v>
      </c>
      <c r="O101" s="2" t="s">
        <v>20</v>
      </c>
      <c r="P101" s="2" t="str">
        <f t="shared" si="1"/>
        <v>Pass</v>
      </c>
    </row>
    <row r="102" spans="1:16" x14ac:dyDescent="0.3">
      <c r="K102" s="8"/>
      <c r="P102" s="7" t="str">
        <f t="shared" si="1"/>
        <v>Fail</v>
      </c>
    </row>
    <row r="103" spans="1:16" x14ac:dyDescent="0.3">
      <c r="K103" s="8"/>
      <c r="P103" s="7" t="str">
        <f t="shared" si="1"/>
        <v>Fail</v>
      </c>
    </row>
  </sheetData>
  <conditionalFormatting sqref="K2:K101">
    <cfRule type="cellIs" dxfId="0" priority="1" operator="greaterThan">
      <formula>80</formula>
    </cfRule>
  </conditionalFormatting>
  <dataValidations count="1">
    <dataValidation type="whole" allowBlank="1" showInputMessage="1" showErrorMessage="1" sqref="K2:K103" xr:uid="{CDF67954-2B94-4DD3-B5C2-51EED264954F}">
      <formula1>0</formula1>
      <formula2>100</formula2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Student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Hasini Vasala</cp:lastModifiedBy>
  <dcterms:created xsi:type="dcterms:W3CDTF">2026-10-07T17:47:48Z</dcterms:created>
  <dcterms:modified xsi:type="dcterms:W3CDTF">2026-10-08T19:25:34Z</dcterms:modified>
</cp:coreProperties>
</file>