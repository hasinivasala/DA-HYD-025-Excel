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01\Downloads\Excel Codegnan\"/>
    </mc:Choice>
  </mc:AlternateContent>
  <xr:revisionPtr revIDLastSave="0" documentId="13_ncr:1_{8C44D33F-A662-43D8-BCCB-4952C81D9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 Data" sheetId="1" r:id="rId1"/>
  </sheets>
  <calcPr calcId="191029"/>
  <pivotCaches>
    <pivotCache cacheId="8" r:id="rId2"/>
  </pivotCaches>
</workbook>
</file>

<file path=xl/calcChain.xml><?xml version="1.0" encoding="utf-8"?>
<calcChain xmlns="http://schemas.openxmlformats.org/spreadsheetml/2006/main">
  <c r="N14" i="1" l="1"/>
  <c r="N1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N12" i="1"/>
  <c r="N11" i="1"/>
  <c r="N10" i="1"/>
  <c r="N9" i="1"/>
  <c r="N8" i="1"/>
</calcChain>
</file>

<file path=xl/sharedStrings.xml><?xml version="1.0" encoding="utf-8"?>
<sst xmlns="http://schemas.openxmlformats.org/spreadsheetml/2006/main" count="143" uniqueCount="48">
  <si>
    <t>loan_id</t>
  </si>
  <si>
    <t>gender</t>
  </si>
  <si>
    <t>maritial status</t>
  </si>
  <si>
    <t>dependancy</t>
  </si>
  <si>
    <t>education</t>
  </si>
  <si>
    <t>applicant</t>
  </si>
  <si>
    <t>coapplicant</t>
  </si>
  <si>
    <t>loanamuount</t>
  </si>
  <si>
    <t>loan_amount available</t>
  </si>
  <si>
    <t>cradit rate</t>
  </si>
  <si>
    <t>property</t>
  </si>
  <si>
    <t>loan_status</t>
  </si>
  <si>
    <t>LP001</t>
  </si>
  <si>
    <t>LP002</t>
  </si>
  <si>
    <t>LP003</t>
  </si>
  <si>
    <t>LP004</t>
  </si>
  <si>
    <t>LP005</t>
  </si>
  <si>
    <t>LP006</t>
  </si>
  <si>
    <t>LP007</t>
  </si>
  <si>
    <t>LP008</t>
  </si>
  <si>
    <t>LP009</t>
  </si>
  <si>
    <t>LP010</t>
  </si>
  <si>
    <t>LP011</t>
  </si>
  <si>
    <t>LP012</t>
  </si>
  <si>
    <t>LP013</t>
  </si>
  <si>
    <t>LP014</t>
  </si>
  <si>
    <t>LP015</t>
  </si>
  <si>
    <t>LP016</t>
  </si>
  <si>
    <t>LP017</t>
  </si>
  <si>
    <t>LP018</t>
  </si>
  <si>
    <t>LP019</t>
  </si>
  <si>
    <t>LP020</t>
  </si>
  <si>
    <t>Male</t>
  </si>
  <si>
    <t>Female</t>
  </si>
  <si>
    <t>Yes</t>
  </si>
  <si>
    <t>No</t>
  </si>
  <si>
    <t>Graduate</t>
  </si>
  <si>
    <t>Not Graduate</t>
  </si>
  <si>
    <t>Urban</t>
  </si>
  <si>
    <t>Semiurban</t>
  </si>
  <si>
    <t>Rural</t>
  </si>
  <si>
    <t>Y</t>
  </si>
  <si>
    <t>N</t>
  </si>
  <si>
    <t>Row Labels</t>
  </si>
  <si>
    <t>Grand Total</t>
  </si>
  <si>
    <t>Column Labels</t>
  </si>
  <si>
    <t>Sum of loanamuount</t>
  </si>
  <si>
    <t>Income_Category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</si>
</sst>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la Gopikrishna" refreshedDate="46304.051078472221" createdVersion="8" refreshedVersion="8" minRefreshableVersion="3" recordCount="20" xr:uid="{B6903517-8AEE-46D5-9D17-7C374CDBF1EF}">
  <cacheSource type="worksheet">
    <worksheetSource ref="A1:L21" sheet="Loan Data"/>
  </cacheSource>
  <cacheFields count="12">
    <cacheField name="loan_id" numFmtId="0">
      <sharedItems/>
    </cacheField>
    <cacheField name="gender" numFmtId="0">
      <sharedItems/>
    </cacheField>
    <cacheField name="maritial status" numFmtId="0">
      <sharedItems/>
    </cacheField>
    <cacheField name="dependancy" numFmtId="0">
      <sharedItems containsSemiMixedTypes="0" containsString="0" containsNumber="1" containsInteger="1" minValue="0" maxValue="3"/>
    </cacheField>
    <cacheField name="education" numFmtId="0">
      <sharedItems/>
    </cacheField>
    <cacheField name="applicant" numFmtId="164">
      <sharedItems containsSemiMixedTypes="0" containsString="0" containsNumber="1" containsInteger="1" minValue="3000" maxValue="7000"/>
    </cacheField>
    <cacheField name="coapplicant" numFmtId="164">
      <sharedItems containsSemiMixedTypes="0" containsString="0" containsNumber="1" containsInteger="1" minValue="0" maxValue="2000"/>
    </cacheField>
    <cacheField name="loanamuount" numFmtId="164">
      <sharedItems containsSemiMixedTypes="0" containsString="0" containsNumber="1" minValue="90" maxValue="250"/>
    </cacheField>
    <cacheField name="loan_amount available" numFmtId="0">
      <sharedItems containsSemiMixedTypes="0" containsString="0" containsNumber="1" containsInteger="1" minValue="110" maxValue="300"/>
    </cacheField>
    <cacheField name="cradit rate" numFmtId="0">
      <sharedItems containsSemiMixedTypes="0" containsString="0" containsNumber="1" containsInteger="1" minValue="630" maxValue="800"/>
    </cacheField>
    <cacheField name="property" numFmtId="0">
      <sharedItems count="3">
        <s v="Urban"/>
        <s v="Semiurban"/>
        <s v="Rural"/>
      </sharedItems>
    </cacheField>
    <cacheField name="loan_status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LP001"/>
    <s v="Male"/>
    <s v="Yes"/>
    <n v="1"/>
    <s v="Graduate"/>
    <n v="5000"/>
    <n v="0"/>
    <n v="150"/>
    <n v="180"/>
    <n v="720"/>
    <x v="0"/>
    <x v="0"/>
  </r>
  <r>
    <s v="LP002"/>
    <s v="Female"/>
    <s v="No"/>
    <n v="0"/>
    <s v="Graduate"/>
    <n v="3500"/>
    <n v="1500"/>
    <n v="100"/>
    <n v="120"/>
    <n v="680"/>
    <x v="1"/>
    <x v="0"/>
  </r>
  <r>
    <s v="LP003"/>
    <s v="Male"/>
    <s v="Yes"/>
    <n v="2"/>
    <s v="Not Graduate"/>
    <n v="4200"/>
    <n v="1000"/>
    <n v="120"/>
    <n v="150"/>
    <n v="650"/>
    <x v="2"/>
    <x v="1"/>
  </r>
  <r>
    <s v="LP004"/>
    <s v="Male"/>
    <s v="Yes"/>
    <n v="0"/>
    <s v="Graduate"/>
    <n v="6000"/>
    <n v="0"/>
    <n v="200"/>
    <n v="250"/>
    <n v="780"/>
    <x v="0"/>
    <x v="0"/>
  </r>
  <r>
    <s v="LP005"/>
    <s v="Female"/>
    <s v="No"/>
    <n v="3"/>
    <s v="Graduate"/>
    <n v="3200"/>
    <n v="1200"/>
    <n v="110"/>
    <n v="130"/>
    <n v="710"/>
    <x v="1"/>
    <x v="0"/>
  </r>
  <r>
    <s v="LP006"/>
    <s v="Male"/>
    <s v="Yes"/>
    <n v="1"/>
    <s v="Not Graduate"/>
    <n v="4800"/>
    <n v="2000"/>
    <n v="152.1875"/>
    <n v="200"/>
    <n v="690"/>
    <x v="0"/>
    <x v="0"/>
  </r>
  <r>
    <s v="LP007"/>
    <s v="Male"/>
    <s v="No"/>
    <n v="0"/>
    <s v="Graduate"/>
    <n v="5500"/>
    <n v="0"/>
    <n v="130"/>
    <n v="160"/>
    <n v="740"/>
    <x v="2"/>
    <x v="0"/>
  </r>
  <r>
    <s v="LP008"/>
    <s v="Female"/>
    <s v="Yes"/>
    <n v="2"/>
    <s v="Graduate"/>
    <n v="4000"/>
    <n v="1800"/>
    <n v="140"/>
    <n v="170"/>
    <n v="705"/>
    <x v="0"/>
    <x v="1"/>
  </r>
  <r>
    <s v="LP009"/>
    <s v="Male"/>
    <s v="Yes"/>
    <n v="1"/>
    <s v="Not Graduate"/>
    <n v="3000"/>
    <n v="500"/>
    <n v="90"/>
    <n v="110"/>
    <n v="630"/>
    <x v="2"/>
    <x v="1"/>
  </r>
  <r>
    <s v="LP010"/>
    <s v="Male"/>
    <s v="No"/>
    <n v="0"/>
    <s v="Graduate"/>
    <n v="7000"/>
    <n v="0"/>
    <n v="250"/>
    <n v="300"/>
    <n v="800"/>
    <x v="0"/>
    <x v="0"/>
  </r>
  <r>
    <s v="LP011"/>
    <s v="Female"/>
    <s v="Yes"/>
    <n v="2"/>
    <s v="Graduate"/>
    <n v="4500"/>
    <n v="1000"/>
    <n v="152.1875"/>
    <n v="150"/>
    <n v="735"/>
    <x v="1"/>
    <x v="0"/>
  </r>
  <r>
    <s v="LP012"/>
    <s v="Male"/>
    <s v="No"/>
    <n v="1"/>
    <s v="Not Graduate"/>
    <n v="3800"/>
    <n v="0"/>
    <n v="100"/>
    <n v="125"/>
    <n v="660"/>
    <x v="2"/>
    <x v="1"/>
  </r>
  <r>
    <s v="LP013"/>
    <s v="Female"/>
    <s v="Yes"/>
    <n v="0"/>
    <s v="Graduate"/>
    <n v="5200"/>
    <n v="1500"/>
    <n v="180"/>
    <n v="220"/>
    <n v="750"/>
    <x v="0"/>
    <x v="0"/>
  </r>
  <r>
    <s v="LP014"/>
    <s v="Male"/>
    <s v="Yes"/>
    <n v="3"/>
    <s v="Graduate"/>
    <n v="6500"/>
    <n v="2000"/>
    <n v="220"/>
    <n v="270"/>
    <n v="790"/>
    <x v="1"/>
    <x v="0"/>
  </r>
  <r>
    <s v="LP015"/>
    <s v="Male"/>
    <s v="No"/>
    <n v="2"/>
    <s v="Not Graduate"/>
    <n v="4100"/>
    <n v="0"/>
    <n v="115"/>
    <n v="140"/>
    <n v="640"/>
    <x v="2"/>
    <x v="1"/>
  </r>
  <r>
    <s v="LP016"/>
    <s v="Female"/>
    <s v="No"/>
    <n v="1"/>
    <s v="Graduate"/>
    <n v="3600"/>
    <n v="1200"/>
    <n v="152.1875"/>
    <n v="130"/>
    <n v="700"/>
    <x v="0"/>
    <x v="0"/>
  </r>
  <r>
    <s v="LP017"/>
    <s v="Male"/>
    <s v="Yes"/>
    <n v="0"/>
    <s v="Graduate"/>
    <n v="5800"/>
    <n v="0"/>
    <n v="190"/>
    <n v="230"/>
    <n v="770"/>
    <x v="0"/>
    <x v="0"/>
  </r>
  <r>
    <s v="LP018"/>
    <s v="Male"/>
    <s v="No"/>
    <n v="2"/>
    <s v="Not Graduate"/>
    <n v="4500"/>
    <n v="1000"/>
    <n v="130"/>
    <n v="160"/>
    <n v="675"/>
    <x v="1"/>
    <x v="1"/>
  </r>
  <r>
    <s v="LP019"/>
    <s v="Female"/>
    <s v="Yes"/>
    <n v="3"/>
    <s v="Graduate"/>
    <n v="3900"/>
    <n v="800"/>
    <n v="152.1875"/>
    <n v="120"/>
    <n v="715"/>
    <x v="2"/>
    <x v="0"/>
  </r>
  <r>
    <s v="LP020"/>
    <s v="Male"/>
    <s v="Yes"/>
    <n v="1"/>
    <s v="Graduate"/>
    <n v="6200"/>
    <n v="1500"/>
    <n v="210"/>
    <n v="250"/>
    <n v="76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D026A-8BA4-48EE-9CE5-5DDC35E3917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3:F28" firstHeaderRow="1" firstDataRow="2" firstDataCol="1"/>
  <pivotFields count="12"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loanamu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N15" sqref="N15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9.109375" bestFit="1" customWidth="1"/>
    <col min="4" max="4" width="15.5546875" bestFit="1" customWidth="1"/>
    <col min="5" max="5" width="9.5546875" bestFit="1" customWidth="1"/>
    <col min="6" max="6" width="10.77734375" style="3" bestFit="1" customWidth="1"/>
    <col min="7" max="7" width="10.88671875" style="3" bestFit="1" customWidth="1"/>
    <col min="8" max="8" width="12.5546875" style="3" bestFit="1" customWidth="1"/>
    <col min="9" max="9" width="20.44140625" bestFit="1" customWidth="1"/>
    <col min="10" max="11" width="9.5546875" bestFit="1" customWidth="1"/>
    <col min="12" max="12" width="10.6640625" bestFit="1" customWidth="1"/>
    <col min="13" max="13" width="16" bestFit="1" customWidth="1"/>
    <col min="14" max="14" width="9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47</v>
      </c>
    </row>
    <row r="2" spans="1:14" x14ac:dyDescent="0.3">
      <c r="A2" s="4" t="s">
        <v>12</v>
      </c>
      <c r="B2" s="4" t="s">
        <v>32</v>
      </c>
      <c r="C2" s="4" t="s">
        <v>34</v>
      </c>
      <c r="D2" s="4">
        <v>1</v>
      </c>
      <c r="E2" s="4" t="s">
        <v>36</v>
      </c>
      <c r="F2" s="5">
        <v>5000</v>
      </c>
      <c r="G2" s="5">
        <v>0</v>
      </c>
      <c r="H2" s="5">
        <v>150</v>
      </c>
      <c r="I2" s="4">
        <v>180</v>
      </c>
      <c r="J2" s="4">
        <v>720</v>
      </c>
      <c r="K2" s="4" t="s">
        <v>38</v>
      </c>
      <c r="L2" s="4" t="s">
        <v>41</v>
      </c>
      <c r="M2" s="4" t="str">
        <f>IF(F2&gt;5000,"High",IF(F2&gt;=3000,"Medium","Low"))</f>
        <v>Medium</v>
      </c>
    </row>
    <row r="3" spans="1:14" x14ac:dyDescent="0.3">
      <c r="A3" s="4" t="s">
        <v>13</v>
      </c>
      <c r="B3" s="4" t="s">
        <v>33</v>
      </c>
      <c r="C3" s="4" t="s">
        <v>35</v>
      </c>
      <c r="D3" s="4">
        <v>0</v>
      </c>
      <c r="E3" s="4" t="s">
        <v>36</v>
      </c>
      <c r="F3" s="5">
        <v>3500</v>
      </c>
      <c r="G3" s="5">
        <v>1500</v>
      </c>
      <c r="H3" s="5">
        <v>100</v>
      </c>
      <c r="I3" s="4">
        <v>120</v>
      </c>
      <c r="J3" s="4">
        <v>680</v>
      </c>
      <c r="K3" s="4" t="s">
        <v>39</v>
      </c>
      <c r="L3" s="4" t="s">
        <v>41</v>
      </c>
      <c r="M3" s="4" t="str">
        <f t="shared" ref="M3:M21" si="0">IF(F3&gt;5000,"High",IF(F3&gt;=3000,"Medium","Low"))</f>
        <v>Medium</v>
      </c>
    </row>
    <row r="4" spans="1:14" x14ac:dyDescent="0.3">
      <c r="A4" s="4" t="s">
        <v>14</v>
      </c>
      <c r="B4" s="4" t="s">
        <v>32</v>
      </c>
      <c r="C4" s="4" t="s">
        <v>34</v>
      </c>
      <c r="D4" s="4">
        <v>2</v>
      </c>
      <c r="E4" s="4" t="s">
        <v>37</v>
      </c>
      <c r="F4" s="5">
        <v>4200</v>
      </c>
      <c r="G4" s="5">
        <v>1000</v>
      </c>
      <c r="H4" s="5">
        <v>120</v>
      </c>
      <c r="I4" s="4">
        <v>150</v>
      </c>
      <c r="J4" s="4">
        <v>650</v>
      </c>
      <c r="K4" s="4" t="s">
        <v>40</v>
      </c>
      <c r="L4" s="4" t="s">
        <v>42</v>
      </c>
      <c r="M4" s="4" t="str">
        <f t="shared" si="0"/>
        <v>Medium</v>
      </c>
    </row>
    <row r="5" spans="1:14" x14ac:dyDescent="0.3">
      <c r="A5" s="4" t="s">
        <v>15</v>
      </c>
      <c r="B5" s="4" t="s">
        <v>32</v>
      </c>
      <c r="C5" s="4" t="s">
        <v>34</v>
      </c>
      <c r="D5" s="4">
        <v>0</v>
      </c>
      <c r="E5" s="4" t="s">
        <v>36</v>
      </c>
      <c r="F5" s="5">
        <v>6000</v>
      </c>
      <c r="G5" s="5">
        <v>0</v>
      </c>
      <c r="H5" s="5">
        <v>200</v>
      </c>
      <c r="I5" s="4">
        <v>250</v>
      </c>
      <c r="J5" s="4">
        <v>780</v>
      </c>
      <c r="K5" s="4" t="s">
        <v>38</v>
      </c>
      <c r="L5" s="4" t="s">
        <v>41</v>
      </c>
      <c r="M5" s="4" t="str">
        <f t="shared" si="0"/>
        <v>High</v>
      </c>
    </row>
    <row r="6" spans="1:14" x14ac:dyDescent="0.3">
      <c r="A6" s="4" t="s">
        <v>16</v>
      </c>
      <c r="B6" s="4" t="s">
        <v>33</v>
      </c>
      <c r="C6" s="4" t="s">
        <v>35</v>
      </c>
      <c r="D6" s="4">
        <v>3</v>
      </c>
      <c r="E6" s="4" t="s">
        <v>36</v>
      </c>
      <c r="F6" s="5">
        <v>3200</v>
      </c>
      <c r="G6" s="5">
        <v>1200</v>
      </c>
      <c r="H6" s="5">
        <v>110</v>
      </c>
      <c r="I6" s="4">
        <v>130</v>
      </c>
      <c r="J6" s="4">
        <v>710</v>
      </c>
      <c r="K6" s="4" t="s">
        <v>39</v>
      </c>
      <c r="L6" s="4" t="s">
        <v>41</v>
      </c>
      <c r="M6" s="4" t="str">
        <f t="shared" si="0"/>
        <v>Medium</v>
      </c>
    </row>
    <row r="7" spans="1:14" x14ac:dyDescent="0.3">
      <c r="A7" s="4" t="s">
        <v>17</v>
      </c>
      <c r="B7" s="4" t="s">
        <v>32</v>
      </c>
      <c r="C7" s="4" t="s">
        <v>34</v>
      </c>
      <c r="D7" s="4">
        <v>1</v>
      </c>
      <c r="E7" s="4" t="s">
        <v>37</v>
      </c>
      <c r="F7" s="5">
        <v>4800</v>
      </c>
      <c r="G7" s="5">
        <v>2000</v>
      </c>
      <c r="H7" s="5">
        <v>152.1875</v>
      </c>
      <c r="I7" s="4">
        <v>200</v>
      </c>
      <c r="J7" s="4">
        <v>690</v>
      </c>
      <c r="K7" s="4" t="s">
        <v>38</v>
      </c>
      <c r="L7" s="4" t="s">
        <v>41</v>
      </c>
      <c r="M7" s="4" t="str">
        <f t="shared" si="0"/>
        <v>Medium</v>
      </c>
    </row>
    <row r="8" spans="1:14" x14ac:dyDescent="0.3">
      <c r="A8" s="4" t="s">
        <v>18</v>
      </c>
      <c r="B8" s="4" t="s">
        <v>32</v>
      </c>
      <c r="C8" s="4" t="s">
        <v>35</v>
      </c>
      <c r="D8" s="4">
        <v>0</v>
      </c>
      <c r="E8" s="4" t="s">
        <v>36</v>
      </c>
      <c r="F8" s="5">
        <v>5500</v>
      </c>
      <c r="G8" s="5">
        <v>0</v>
      </c>
      <c r="H8" s="5">
        <v>130</v>
      </c>
      <c r="I8" s="4">
        <v>160</v>
      </c>
      <c r="J8" s="4">
        <v>740</v>
      </c>
      <c r="K8" s="4" t="s">
        <v>40</v>
      </c>
      <c r="L8" s="4" t="s">
        <v>41</v>
      </c>
      <c r="M8" s="4" t="str">
        <f t="shared" si="0"/>
        <v>High</v>
      </c>
      <c r="N8" s="3">
        <f>AVERAGE(F2:F21)</f>
        <v>4715</v>
      </c>
    </row>
    <row r="9" spans="1:14" x14ac:dyDescent="0.3">
      <c r="A9" s="4" t="s">
        <v>19</v>
      </c>
      <c r="B9" s="4" t="s">
        <v>33</v>
      </c>
      <c r="C9" s="4" t="s">
        <v>34</v>
      </c>
      <c r="D9" s="4">
        <v>2</v>
      </c>
      <c r="E9" s="4" t="s">
        <v>36</v>
      </c>
      <c r="F9" s="5">
        <v>4000</v>
      </c>
      <c r="G9" s="5">
        <v>1800</v>
      </c>
      <c r="H9" s="5">
        <v>140</v>
      </c>
      <c r="I9" s="4">
        <v>170</v>
      </c>
      <c r="J9" s="4">
        <v>705</v>
      </c>
      <c r="K9" s="4" t="s">
        <v>38</v>
      </c>
      <c r="L9" s="4" t="s">
        <v>42</v>
      </c>
      <c r="M9" s="4" t="str">
        <f t="shared" si="0"/>
        <v>Medium</v>
      </c>
      <c r="N9" s="3">
        <f>AVERAGE(G2:G21)</f>
        <v>850</v>
      </c>
    </row>
    <row r="10" spans="1:14" x14ac:dyDescent="0.3">
      <c r="A10" s="4" t="s">
        <v>20</v>
      </c>
      <c r="B10" s="4" t="s">
        <v>32</v>
      </c>
      <c r="C10" s="4" t="s">
        <v>34</v>
      </c>
      <c r="D10" s="4">
        <v>1</v>
      </c>
      <c r="E10" s="4" t="s">
        <v>37</v>
      </c>
      <c r="F10" s="5">
        <v>3000</v>
      </c>
      <c r="G10" s="5">
        <v>500</v>
      </c>
      <c r="H10" s="5">
        <v>90</v>
      </c>
      <c r="I10" s="4">
        <v>110</v>
      </c>
      <c r="J10" s="4">
        <v>630</v>
      </c>
      <c r="K10" s="4" t="s">
        <v>40</v>
      </c>
      <c r="L10" s="4" t="s">
        <v>42</v>
      </c>
      <c r="M10" s="4" t="str">
        <f t="shared" si="0"/>
        <v>Medium</v>
      </c>
      <c r="N10" s="3">
        <f>MIN(F2:F21)</f>
        <v>3000</v>
      </c>
    </row>
    <row r="11" spans="1:14" x14ac:dyDescent="0.3">
      <c r="A11" s="4" t="s">
        <v>21</v>
      </c>
      <c r="B11" s="4" t="s">
        <v>32</v>
      </c>
      <c r="C11" s="4" t="s">
        <v>35</v>
      </c>
      <c r="D11" s="4">
        <v>0</v>
      </c>
      <c r="E11" s="4" t="s">
        <v>36</v>
      </c>
      <c r="F11" s="5">
        <v>7000</v>
      </c>
      <c r="G11" s="5">
        <v>0</v>
      </c>
      <c r="H11" s="5">
        <v>250</v>
      </c>
      <c r="I11" s="4">
        <v>300</v>
      </c>
      <c r="J11" s="4">
        <v>800</v>
      </c>
      <c r="K11" s="4" t="s">
        <v>38</v>
      </c>
      <c r="L11" s="4" t="s">
        <v>41</v>
      </c>
      <c r="M11" s="4" t="str">
        <f t="shared" si="0"/>
        <v>High</v>
      </c>
      <c r="N11" s="3">
        <f>MAX(F2:F21)</f>
        <v>7000</v>
      </c>
    </row>
    <row r="12" spans="1:14" x14ac:dyDescent="0.3">
      <c r="A12" s="4" t="s">
        <v>22</v>
      </c>
      <c r="B12" s="4" t="s">
        <v>33</v>
      </c>
      <c r="C12" s="4" t="s">
        <v>34</v>
      </c>
      <c r="D12" s="4">
        <v>2</v>
      </c>
      <c r="E12" s="4" t="s">
        <v>36</v>
      </c>
      <c r="F12" s="5">
        <v>4500</v>
      </c>
      <c r="G12" s="5">
        <v>1000</v>
      </c>
      <c r="H12" s="5">
        <v>152.1875</v>
      </c>
      <c r="I12" s="4">
        <v>150</v>
      </c>
      <c r="J12" s="4">
        <v>735</v>
      </c>
      <c r="K12" s="4" t="s">
        <v>39</v>
      </c>
      <c r="L12" s="4" t="s">
        <v>41</v>
      </c>
      <c r="M12" s="4" t="str">
        <f t="shared" si="0"/>
        <v>Medium</v>
      </c>
      <c r="N12">
        <f>_xlfn.STDEV.P(G2:G21)</f>
        <v>717.9832867135558</v>
      </c>
    </row>
    <row r="13" spans="1:14" x14ac:dyDescent="0.3">
      <c r="A13" s="4" t="s">
        <v>23</v>
      </c>
      <c r="B13" s="4" t="s">
        <v>32</v>
      </c>
      <c r="C13" s="4" t="s">
        <v>35</v>
      </c>
      <c r="D13" s="4">
        <v>1</v>
      </c>
      <c r="E13" s="4" t="s">
        <v>37</v>
      </c>
      <c r="F13" s="5">
        <v>3800</v>
      </c>
      <c r="G13" s="5">
        <v>0</v>
      </c>
      <c r="H13" s="5">
        <v>100</v>
      </c>
      <c r="I13" s="4">
        <v>125</v>
      </c>
      <c r="J13" s="4">
        <v>660</v>
      </c>
      <c r="K13" s="4" t="s">
        <v>40</v>
      </c>
      <c r="L13" s="4" t="s">
        <v>42</v>
      </c>
      <c r="M13" s="4" t="str">
        <f t="shared" si="0"/>
        <v>Medium</v>
      </c>
      <c r="N13">
        <f>COUNTIF(L2:L21,"Y")</f>
        <v>14</v>
      </c>
    </row>
    <row r="14" spans="1:14" x14ac:dyDescent="0.3">
      <c r="A14" s="4" t="s">
        <v>24</v>
      </c>
      <c r="B14" s="4" t="s">
        <v>33</v>
      </c>
      <c r="C14" s="4" t="s">
        <v>34</v>
      </c>
      <c r="D14" s="4">
        <v>0</v>
      </c>
      <c r="E14" s="4" t="s">
        <v>36</v>
      </c>
      <c r="F14" s="5">
        <v>5200</v>
      </c>
      <c r="G14" s="5">
        <v>1500</v>
      </c>
      <c r="H14" s="5">
        <v>180</v>
      </c>
      <c r="I14" s="4">
        <v>220</v>
      </c>
      <c r="J14" s="4">
        <v>750</v>
      </c>
      <c r="K14" s="4" t="s">
        <v>38</v>
      </c>
      <c r="L14" s="4" t="s">
        <v>41</v>
      </c>
      <c r="M14" s="4" t="str">
        <f t="shared" si="0"/>
        <v>High</v>
      </c>
      <c r="N14">
        <f>AVERAGEIF(L2:L21,"Y",H2:H21)</f>
        <v>167.76785714285714</v>
      </c>
    </row>
    <row r="15" spans="1:14" x14ac:dyDescent="0.3">
      <c r="A15" s="4" t="s">
        <v>25</v>
      </c>
      <c r="B15" s="4" t="s">
        <v>32</v>
      </c>
      <c r="C15" s="4" t="s">
        <v>34</v>
      </c>
      <c r="D15" s="4">
        <v>3</v>
      </c>
      <c r="E15" s="4" t="s">
        <v>36</v>
      </c>
      <c r="F15" s="5">
        <v>6500</v>
      </c>
      <c r="G15" s="5">
        <v>2000</v>
      </c>
      <c r="H15" s="5">
        <v>220</v>
      </c>
      <c r="I15" s="4">
        <v>270</v>
      </c>
      <c r="J15" s="4">
        <v>790</v>
      </c>
      <c r="K15" s="4" t="s">
        <v>39</v>
      </c>
      <c r="L15" s="4" t="s">
        <v>41</v>
      </c>
      <c r="M15" s="4" t="str">
        <f t="shared" si="0"/>
        <v>High</v>
      </c>
    </row>
    <row r="16" spans="1:14" x14ac:dyDescent="0.3">
      <c r="A16" s="4" t="s">
        <v>26</v>
      </c>
      <c r="B16" s="4" t="s">
        <v>32</v>
      </c>
      <c r="C16" s="4" t="s">
        <v>35</v>
      </c>
      <c r="D16" s="4">
        <v>2</v>
      </c>
      <c r="E16" s="4" t="s">
        <v>37</v>
      </c>
      <c r="F16" s="5">
        <v>4100</v>
      </c>
      <c r="G16" s="5">
        <v>0</v>
      </c>
      <c r="H16" s="5">
        <v>115</v>
      </c>
      <c r="I16" s="4">
        <v>140</v>
      </c>
      <c r="J16" s="4">
        <v>640</v>
      </c>
      <c r="K16" s="4" t="s">
        <v>40</v>
      </c>
      <c r="L16" s="4" t="s">
        <v>42</v>
      </c>
      <c r="M16" s="4" t="str">
        <f t="shared" si="0"/>
        <v>Medium</v>
      </c>
    </row>
    <row r="17" spans="1:13" x14ac:dyDescent="0.3">
      <c r="A17" s="4" t="s">
        <v>27</v>
      </c>
      <c r="B17" s="4" t="s">
        <v>33</v>
      </c>
      <c r="C17" s="4" t="s">
        <v>35</v>
      </c>
      <c r="D17" s="4">
        <v>1</v>
      </c>
      <c r="E17" s="4" t="s">
        <v>36</v>
      </c>
      <c r="F17" s="5">
        <v>3600</v>
      </c>
      <c r="G17" s="5">
        <v>1200</v>
      </c>
      <c r="H17" s="5">
        <v>152.1875</v>
      </c>
      <c r="I17" s="4">
        <v>130</v>
      </c>
      <c r="J17" s="4">
        <v>700</v>
      </c>
      <c r="K17" s="4" t="s">
        <v>38</v>
      </c>
      <c r="L17" s="4" t="s">
        <v>41</v>
      </c>
      <c r="M17" s="4" t="str">
        <f t="shared" si="0"/>
        <v>Medium</v>
      </c>
    </row>
    <row r="18" spans="1:13" x14ac:dyDescent="0.3">
      <c r="A18" s="4" t="s">
        <v>28</v>
      </c>
      <c r="B18" s="4" t="s">
        <v>32</v>
      </c>
      <c r="C18" s="4" t="s">
        <v>34</v>
      </c>
      <c r="D18" s="4">
        <v>0</v>
      </c>
      <c r="E18" s="4" t="s">
        <v>36</v>
      </c>
      <c r="F18" s="5">
        <v>5800</v>
      </c>
      <c r="G18" s="5">
        <v>0</v>
      </c>
      <c r="H18" s="5">
        <v>190</v>
      </c>
      <c r="I18" s="4">
        <v>230</v>
      </c>
      <c r="J18" s="4">
        <v>770</v>
      </c>
      <c r="K18" s="4" t="s">
        <v>38</v>
      </c>
      <c r="L18" s="4" t="s">
        <v>41</v>
      </c>
      <c r="M18" s="4" t="str">
        <f t="shared" si="0"/>
        <v>High</v>
      </c>
    </row>
    <row r="19" spans="1:13" x14ac:dyDescent="0.3">
      <c r="A19" s="4" t="s">
        <v>29</v>
      </c>
      <c r="B19" s="4" t="s">
        <v>32</v>
      </c>
      <c r="C19" s="4" t="s">
        <v>35</v>
      </c>
      <c r="D19" s="4">
        <v>2</v>
      </c>
      <c r="E19" s="4" t="s">
        <v>37</v>
      </c>
      <c r="F19" s="5">
        <v>4500</v>
      </c>
      <c r="G19" s="5">
        <v>1000</v>
      </c>
      <c r="H19" s="5">
        <v>130</v>
      </c>
      <c r="I19" s="4">
        <v>160</v>
      </c>
      <c r="J19" s="4">
        <v>675</v>
      </c>
      <c r="K19" s="4" t="s">
        <v>39</v>
      </c>
      <c r="L19" s="4" t="s">
        <v>42</v>
      </c>
      <c r="M19" s="4" t="str">
        <f t="shared" si="0"/>
        <v>Medium</v>
      </c>
    </row>
    <row r="20" spans="1:13" x14ac:dyDescent="0.3">
      <c r="A20" s="4" t="s">
        <v>30</v>
      </c>
      <c r="B20" s="4" t="s">
        <v>33</v>
      </c>
      <c r="C20" s="4" t="s">
        <v>34</v>
      </c>
      <c r="D20" s="4">
        <v>3</v>
      </c>
      <c r="E20" s="4" t="s">
        <v>36</v>
      </c>
      <c r="F20" s="5">
        <v>3900</v>
      </c>
      <c r="G20" s="5">
        <v>800</v>
      </c>
      <c r="H20" s="5">
        <v>152.1875</v>
      </c>
      <c r="I20" s="4">
        <v>120</v>
      </c>
      <c r="J20" s="4">
        <v>715</v>
      </c>
      <c r="K20" s="4" t="s">
        <v>40</v>
      </c>
      <c r="L20" s="4" t="s">
        <v>41</v>
      </c>
      <c r="M20" s="4" t="str">
        <f t="shared" si="0"/>
        <v>Medium</v>
      </c>
    </row>
    <row r="21" spans="1:13" x14ac:dyDescent="0.3">
      <c r="A21" s="4" t="s">
        <v>31</v>
      </c>
      <c r="B21" s="4" t="s">
        <v>32</v>
      </c>
      <c r="C21" s="4" t="s">
        <v>34</v>
      </c>
      <c r="D21" s="4">
        <v>1</v>
      </c>
      <c r="E21" s="4" t="s">
        <v>36</v>
      </c>
      <c r="F21" s="5">
        <v>6200</v>
      </c>
      <c r="G21" s="5">
        <v>1500</v>
      </c>
      <c r="H21" s="5">
        <v>210</v>
      </c>
      <c r="I21" s="4">
        <v>250</v>
      </c>
      <c r="J21" s="4">
        <v>760</v>
      </c>
      <c r="K21" s="4" t="s">
        <v>38</v>
      </c>
      <c r="L21" s="4" t="s">
        <v>41</v>
      </c>
      <c r="M21" s="4" t="str">
        <f t="shared" si="0"/>
        <v>High</v>
      </c>
    </row>
    <row r="23" spans="1:13" x14ac:dyDescent="0.3">
      <c r="C23" s="6" t="s">
        <v>46</v>
      </c>
      <c r="D23" s="6" t="s">
        <v>45</v>
      </c>
      <c r="F23"/>
    </row>
    <row r="24" spans="1:13" x14ac:dyDescent="0.3">
      <c r="C24" s="6" t="s">
        <v>43</v>
      </c>
      <c r="D24" t="s">
        <v>42</v>
      </c>
      <c r="E24" t="s">
        <v>41</v>
      </c>
      <c r="F24" t="s">
        <v>44</v>
      </c>
    </row>
    <row r="25" spans="1:13" x14ac:dyDescent="0.3">
      <c r="C25" s="7" t="s">
        <v>40</v>
      </c>
      <c r="D25" s="3">
        <v>425</v>
      </c>
      <c r="E25" s="3">
        <v>282.1875</v>
      </c>
      <c r="F25" s="3">
        <v>707.1875</v>
      </c>
    </row>
    <row r="26" spans="1:13" x14ac:dyDescent="0.3">
      <c r="C26" s="7" t="s">
        <v>39</v>
      </c>
      <c r="D26" s="3">
        <v>130</v>
      </c>
      <c r="E26" s="3">
        <v>582.1875</v>
      </c>
      <c r="F26" s="3">
        <v>712.1875</v>
      </c>
    </row>
    <row r="27" spans="1:13" x14ac:dyDescent="0.3">
      <c r="C27" s="7" t="s">
        <v>38</v>
      </c>
      <c r="D27" s="3">
        <v>140</v>
      </c>
      <c r="E27" s="3">
        <v>1484.375</v>
      </c>
      <c r="F27" s="3">
        <v>1624.375</v>
      </c>
    </row>
    <row r="28" spans="1:13" x14ac:dyDescent="0.3">
      <c r="C28" s="7" t="s">
        <v>44</v>
      </c>
      <c r="D28" s="3">
        <v>695</v>
      </c>
      <c r="E28" s="3">
        <v>2348.75</v>
      </c>
      <c r="F28" s="3">
        <v>3043.75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Hasini Vasala</cp:lastModifiedBy>
  <dcterms:created xsi:type="dcterms:W3CDTF">2026-10-08T19:25:10Z</dcterms:created>
  <dcterms:modified xsi:type="dcterms:W3CDTF">2026-10-08T19:54:31Z</dcterms:modified>
</cp:coreProperties>
</file>