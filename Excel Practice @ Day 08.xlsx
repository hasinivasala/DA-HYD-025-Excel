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91901\Downloads\"/>
    </mc:Choice>
  </mc:AlternateContent>
  <xr:revisionPtr revIDLastSave="0" documentId="13_ncr:1_{DCA5E174-D6F7-4880-BA28-9ADBC915FBC3}" xr6:coauthVersionLast="47" xr6:coauthVersionMax="47" xr10:uidLastSave="{00000000-0000-0000-0000-000000000000}"/>
  <bookViews>
    <workbookView xWindow="-108" yWindow="-108" windowWidth="23256" windowHeight="12456" xr2:uid="{00000000-000D-0000-FFFF-FFFF00000000}"/>
  </bookViews>
  <sheets>
    <sheet name="Sales_Data" sheetId="1" r:id="rId1"/>
    <sheet name="Sheet1" sheetId="2" r:id="rId2"/>
  </sheets>
  <definedNames>
    <definedName name="Slicer_Sales">#N/A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<sst xmlns="http://schemas.openxmlformats.org/spreadsheetml/2006/main" count="1053" uniqueCount="274">
  <si>
    <t>Order_ID</t>
  </si>
  <si>
    <t>Order_Date</t>
  </si>
  <si>
    <t>Customer</t>
  </si>
  <si>
    <t>Region</t>
  </si>
  <si>
    <t>Salesperson</t>
  </si>
  <si>
    <t>Product</t>
  </si>
  <si>
    <t>Category</t>
  </si>
  <si>
    <t>Quantity</t>
  </si>
  <si>
    <t>Unit_Price</t>
  </si>
  <si>
    <t>Discount</t>
  </si>
  <si>
    <t>Sales</t>
  </si>
  <si>
    <t>Profit</t>
  </si>
  <si>
    <t>Payment_Method</t>
  </si>
  <si>
    <t>Status</t>
  </si>
  <si>
    <t>ORD0001</t>
  </si>
  <si>
    <t>Anil Reddy</t>
  </si>
  <si>
    <t>North</t>
  </si>
  <si>
    <t>Aditya</t>
  </si>
  <si>
    <t>Monitor</t>
  </si>
  <si>
    <t>Electronics</t>
  </si>
  <si>
    <t>UPI</t>
  </si>
  <si>
    <t>Completed</t>
  </si>
  <si>
    <t>ORD0002</t>
  </si>
  <si>
    <t>Anjali Singh</t>
  </si>
  <si>
    <t>South</t>
  </si>
  <si>
    <t>Nisha</t>
  </si>
  <si>
    <t>Wireless Mouse</t>
  </si>
  <si>
    <t>Accessories</t>
  </si>
  <si>
    <t>Cash</t>
  </si>
  <si>
    <t>ORD0003</t>
  </si>
  <si>
    <t>Anil Rao</t>
  </si>
  <si>
    <t>East</t>
  </si>
  <si>
    <t>Ishita</t>
  </si>
  <si>
    <t>Keyboard</t>
  </si>
  <si>
    <t>ORD0004</t>
  </si>
  <si>
    <t>Kiran Gupta</t>
  </si>
  <si>
    <t>Printer</t>
  </si>
  <si>
    <t>Pending</t>
  </si>
  <si>
    <t>ORD0005</t>
  </si>
  <si>
    <t>Arjun Sharma</t>
  </si>
  <si>
    <t>Karthik</t>
  </si>
  <si>
    <t>External HDD</t>
  </si>
  <si>
    <t>Storage</t>
  </si>
  <si>
    <t>ORD0006</t>
  </si>
  <si>
    <t>Divya Kumar</t>
  </si>
  <si>
    <t>Megha</t>
  </si>
  <si>
    <t>Office Chair</t>
  </si>
  <si>
    <t>Furniture</t>
  </si>
  <si>
    <t>Credit Card</t>
  </si>
  <si>
    <t>Cancelled</t>
  </si>
  <si>
    <t>ORD0007</t>
  </si>
  <si>
    <t>Kavya Gupta</t>
  </si>
  <si>
    <t>Vivek</t>
  </si>
  <si>
    <t>SSD</t>
  </si>
  <si>
    <t>Net Banking</t>
  </si>
  <si>
    <t>ORD0008</t>
  </si>
  <si>
    <t>Priya Rao</t>
  </si>
  <si>
    <t>ORD0009</t>
  </si>
  <si>
    <t>Meena Singh</t>
  </si>
  <si>
    <t>West</t>
  </si>
  <si>
    <t>Debit Card</t>
  </si>
  <si>
    <t>ORD0010</t>
  </si>
  <si>
    <t>Swathi Devi</t>
  </si>
  <si>
    <t>ORD0011</t>
  </si>
  <si>
    <t>Anil Kumar</t>
  </si>
  <si>
    <t>Office Table</t>
  </si>
  <si>
    <t>ORD0012</t>
  </si>
  <si>
    <t>Rahul Reddy</t>
  </si>
  <si>
    <t>ORD0013</t>
  </si>
  <si>
    <t>Vikram Gupta</t>
  </si>
  <si>
    <t>ORD0014</t>
  </si>
  <si>
    <t>Webcam</t>
  </si>
  <si>
    <t>ORD0015</t>
  </si>
  <si>
    <t>Harish Reddy</t>
  </si>
  <si>
    <t>ORD0016</t>
  </si>
  <si>
    <t>Kavya Verma</t>
  </si>
  <si>
    <t>Riya</t>
  </si>
  <si>
    <t>ORD0017</t>
  </si>
  <si>
    <t>Divya Nair</t>
  </si>
  <si>
    <t>ORD0018</t>
  </si>
  <si>
    <t>ORD0019</t>
  </si>
  <si>
    <t>Meena Rao</t>
  </si>
  <si>
    <t>ORD0020</t>
  </si>
  <si>
    <t>Divya Singh</t>
  </si>
  <si>
    <t>ORD0021</t>
  </si>
  <si>
    <t>Suresh Reddy</t>
  </si>
  <si>
    <t>ORD0022</t>
  </si>
  <si>
    <t>Neha Reddy</t>
  </si>
  <si>
    <t>ORD0023</t>
  </si>
  <si>
    <t>Meena Nair</t>
  </si>
  <si>
    <t>Laptop</t>
  </si>
  <si>
    <t>ORD0024</t>
  </si>
  <si>
    <t>Kiran Verma</t>
  </si>
  <si>
    <t>ORD0025</t>
  </si>
  <si>
    <t>Priya Sharma</t>
  </si>
  <si>
    <t>ORD0026</t>
  </si>
  <si>
    <t>Neha Singh</t>
  </si>
  <si>
    <t>ORD0027</t>
  </si>
  <si>
    <t>Harish Gupta</t>
  </si>
  <si>
    <t>ORD0028</t>
  </si>
  <si>
    <t>Pooja Nair</t>
  </si>
  <si>
    <t>ORD0029</t>
  </si>
  <si>
    <t>Naveen Verma</t>
  </si>
  <si>
    <t>ORD0030</t>
  </si>
  <si>
    <t>Pooja Devi</t>
  </si>
  <si>
    <t>Headphones</t>
  </si>
  <si>
    <t>ORD0031</t>
  </si>
  <si>
    <t>Lakshmi Rao</t>
  </si>
  <si>
    <t>ORD0032</t>
  </si>
  <si>
    <t>Vikram Sharma</t>
  </si>
  <si>
    <t>ORD0033</t>
  </si>
  <si>
    <t>Swathi Gupta</t>
  </si>
  <si>
    <t>ORD0034</t>
  </si>
  <si>
    <t>Anil Singh</t>
  </si>
  <si>
    <t>Aarav</t>
  </si>
  <si>
    <t>Tablet</t>
  </si>
  <si>
    <t>ORD0035</t>
  </si>
  <si>
    <t>Divya Gupta</t>
  </si>
  <si>
    <t>ORD0036</t>
  </si>
  <si>
    <t>Suresh Singh</t>
  </si>
  <si>
    <t>ORD0037</t>
  </si>
  <si>
    <t>Kiran Patel</t>
  </si>
  <si>
    <t>ORD0038</t>
  </si>
  <si>
    <t>Arjun Verma</t>
  </si>
  <si>
    <t>ORD0039</t>
  </si>
  <si>
    <t>ORD0040</t>
  </si>
  <si>
    <t>Harish Rao</t>
  </si>
  <si>
    <t>ORD0041</t>
  </si>
  <si>
    <t>Arjun Patel</t>
  </si>
  <si>
    <t>ORD0042</t>
  </si>
  <si>
    <t>Pooja Gupta</t>
  </si>
  <si>
    <t>ORD0043</t>
  </si>
  <si>
    <t>Pooja Singh</t>
  </si>
  <si>
    <t>ORD0044</t>
  </si>
  <si>
    <t>Kiran Rao</t>
  </si>
  <si>
    <t>ORD0045</t>
  </si>
  <si>
    <t>Neha Verma</t>
  </si>
  <si>
    <t>ORD0046</t>
  </si>
  <si>
    <t>ORD0047</t>
  </si>
  <si>
    <t>Sneha Singh</t>
  </si>
  <si>
    <t>ORD0048</t>
  </si>
  <si>
    <t>ORD0049</t>
  </si>
  <si>
    <t>ORD0050</t>
  </si>
  <si>
    <t>Pooja Rao</t>
  </si>
  <si>
    <t>ORD0051</t>
  </si>
  <si>
    <t>ORD0052</t>
  </si>
  <si>
    <t>Swathi Singh</t>
  </si>
  <si>
    <t>ORD0053</t>
  </si>
  <si>
    <t>Anjali Devi</t>
  </si>
  <si>
    <t>ORD0054</t>
  </si>
  <si>
    <t>Amit Kumar</t>
  </si>
  <si>
    <t>ORD0055</t>
  </si>
  <si>
    <t>Swathi Kumar</t>
  </si>
  <si>
    <t>ORD0056</t>
  </si>
  <si>
    <t>Amit Verma</t>
  </si>
  <si>
    <t>ORD0057</t>
  </si>
  <si>
    <t>Divya Rao</t>
  </si>
  <si>
    <t>ORD0058</t>
  </si>
  <si>
    <t>Meena Reddy</t>
  </si>
  <si>
    <t>ORD0059</t>
  </si>
  <si>
    <t>ORD0060</t>
  </si>
  <si>
    <t>ORD0061</t>
  </si>
  <si>
    <t>Suresh Sharma</t>
  </si>
  <si>
    <t>ORD0062</t>
  </si>
  <si>
    <t>ORD0063</t>
  </si>
  <si>
    <t>ORD0064</t>
  </si>
  <si>
    <t>Suresh Kumar</t>
  </si>
  <si>
    <t>ORD0065</t>
  </si>
  <si>
    <t>Naveen Rao</t>
  </si>
  <si>
    <t>ORD0066</t>
  </si>
  <si>
    <t>ORD0067</t>
  </si>
  <si>
    <t>ORD0068</t>
  </si>
  <si>
    <t>ORD0069</t>
  </si>
  <si>
    <t>Meena Verma</t>
  </si>
  <si>
    <t>ORD0070</t>
  </si>
  <si>
    <t>Anjali Kumar</t>
  </si>
  <si>
    <t>ORD0071</t>
  </si>
  <si>
    <t>Rahul Devi</t>
  </si>
  <si>
    <t>ORD0072</t>
  </si>
  <si>
    <t>ORD0073</t>
  </si>
  <si>
    <t>Harish Verma</t>
  </si>
  <si>
    <t>ORD0074</t>
  </si>
  <si>
    <t>Amit Nair</t>
  </si>
  <si>
    <t>ORD0075</t>
  </si>
  <si>
    <t>Sneha Rao</t>
  </si>
  <si>
    <t>ORD0076</t>
  </si>
  <si>
    <t>Swathi Nair</t>
  </si>
  <si>
    <t>ORD0077</t>
  </si>
  <si>
    <t>ORD0078</t>
  </si>
  <si>
    <t>ORD0079</t>
  </si>
  <si>
    <t>ORD0080</t>
  </si>
  <si>
    <t>ORD0081</t>
  </si>
  <si>
    <t>Kavya Devi</t>
  </si>
  <si>
    <t>ORD0082</t>
  </si>
  <si>
    <t>Kavya Patel</t>
  </si>
  <si>
    <t>ORD0083</t>
  </si>
  <si>
    <t>Vikram Patel</t>
  </si>
  <si>
    <t>ORD0084</t>
  </si>
  <si>
    <t>Naveen Patel</t>
  </si>
  <si>
    <t>ORD0085</t>
  </si>
  <si>
    <t>ORD0086</t>
  </si>
  <si>
    <t>Sneha Nair</t>
  </si>
  <si>
    <t>ORD0087</t>
  </si>
  <si>
    <t>ORD0088</t>
  </si>
  <si>
    <t>Vikram Singh</t>
  </si>
  <si>
    <t>ORD0089</t>
  </si>
  <si>
    <t>ORD0090</t>
  </si>
  <si>
    <t>Neha Devi</t>
  </si>
  <si>
    <t>ORD0091</t>
  </si>
  <si>
    <t>Anil Nair</t>
  </si>
  <si>
    <t>ORD0092</t>
  </si>
  <si>
    <t>Kiran Sharma</t>
  </si>
  <si>
    <t>ORD0093</t>
  </si>
  <si>
    <t>Suresh Gupta</t>
  </si>
  <si>
    <t>ORD0094</t>
  </si>
  <si>
    <t>ORD0095</t>
  </si>
  <si>
    <t>Rahul Sharma</t>
  </si>
  <si>
    <t>ORD0096</t>
  </si>
  <si>
    <t>Harish Kumar</t>
  </si>
  <si>
    <t>ORD0097</t>
  </si>
  <si>
    <t>ORD0098</t>
  </si>
  <si>
    <t>ORD0099</t>
  </si>
  <si>
    <t>ORD0100</t>
  </si>
  <si>
    <t>Pooja Sharma</t>
  </si>
  <si>
    <t>ORD0101</t>
  </si>
  <si>
    <t>ORD0102</t>
  </si>
  <si>
    <t>Priya Verma</t>
  </si>
  <si>
    <t>ORD0103</t>
  </si>
  <si>
    <t>Kavya Rao</t>
  </si>
  <si>
    <t>ORD0104</t>
  </si>
  <si>
    <t>Pooja Patel</t>
  </si>
  <si>
    <t>ORD0105</t>
  </si>
  <si>
    <t>Anjali Patel</t>
  </si>
  <si>
    <t>ORD0106</t>
  </si>
  <si>
    <t>Vikram Devi</t>
  </si>
  <si>
    <t>ORD0107</t>
  </si>
  <si>
    <t>ORD0108</t>
  </si>
  <si>
    <t>Sneha Reddy</t>
  </si>
  <si>
    <t>ORD0109</t>
  </si>
  <si>
    <t>ORD0110</t>
  </si>
  <si>
    <t>ORD0111</t>
  </si>
  <si>
    <t>ORD0112</t>
  </si>
  <si>
    <t>Rohit Reddy</t>
  </si>
  <si>
    <t>ORD0113</t>
  </si>
  <si>
    <t>ORD0114</t>
  </si>
  <si>
    <t>ORD0115</t>
  </si>
  <si>
    <t>Arjun Nair</t>
  </si>
  <si>
    <t>ORD0116</t>
  </si>
  <si>
    <t>Priya Gupta</t>
  </si>
  <si>
    <t>ORD0117</t>
  </si>
  <si>
    <t>Kiran Reddy</t>
  </si>
  <si>
    <t>ORD0118</t>
  </si>
  <si>
    <t>Lakshmi Gupta</t>
  </si>
  <si>
    <t>ORD0119</t>
  </si>
  <si>
    <t>Anjali Rao</t>
  </si>
  <si>
    <t>ORD0120</t>
  </si>
  <si>
    <t>Row Labels</t>
  </si>
  <si>
    <t>Grand Total</t>
  </si>
  <si>
    <t>Sum of Sales</t>
  </si>
  <si>
    <t>Python</t>
  </si>
  <si>
    <t>SQL</t>
  </si>
  <si>
    <t>Excel</t>
  </si>
  <si>
    <t>Name</t>
  </si>
  <si>
    <t>Location</t>
  </si>
  <si>
    <t>Mobile</t>
  </si>
  <si>
    <t>Haisni</t>
  </si>
  <si>
    <t>Hani</t>
  </si>
  <si>
    <t>Ashwini</t>
  </si>
  <si>
    <t>Bhupalapally</t>
  </si>
  <si>
    <t>Bellampally</t>
  </si>
  <si>
    <t>Warangal</t>
  </si>
  <si>
    <t>Student_ID</t>
  </si>
  <si>
    <t>Column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</si>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</sst>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701040</xdr:colOff>
      <xdr:row>124</xdr:row>
      <xdr:rowOff>0</xdr:rowOff>
    </xdr:from>
    <xdr:to>
      <xdr:col>6</xdr:col>
      <xdr:colOff>822960</xdr:colOff>
      <xdr:row>137</xdr:row>
      <xdr:rowOff>89535</xdr:rowOff>
    </xdr:to>
    <mc:AlternateContent xmlns:mc="http://schemas.openxmlformats.org/markup-compatibility/2006">
      <mc:Choice xmlns:a14="http://schemas.microsoft.com/office/drawing/2010/main" Requires="a14">
        <xdr:graphicFrame macro="">
          <xdr:nvGraphicFramePr>
            <xdr:cNvPr id="2" name="Sales">
              <a:extLst>
                <a:ext uri="{FF2B5EF4-FFF2-40B4-BE49-F238E27FC236}">
                  <a16:creationId xmlns:a16="http://schemas.microsoft.com/office/drawing/2014/main" id="{678B57B5-EEDF-1106-F79D-04F8B39FD4C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4091940" y="22677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ala Gopikrishna" refreshedDate="46298.486089930557" createdVersion="8" refreshedVersion="8" minRefreshableVersion="3" recordCount="120" xr:uid="{A9BB95B7-E769-4C8B-B5A1-D019D15CE590}">
  <cacheSource type="worksheet">
    <worksheetSource ref="A1:N121" sheet="Sales_Data"/>
  </cacheSource>
  <cacheFields count="14">
    <cacheField name="Order_ID" numFmtId="0">
      <sharedItems/>
    </cacheField>
    <cacheField name="Order_Date" numFmtId="164">
      <sharedItems containsSemiMixedTypes="0" containsNonDate="0" containsDate="1" containsString="0" minDate="2025-01-04T00:00:00" maxDate="2025-12-28T00:00:00"/>
    </cacheField>
    <cacheField name="Customer" numFmtId="0">
      <sharedItems count="86">
        <s v="Anil Reddy"/>
        <s v="Anjali Singh"/>
        <s v="Anil Rao"/>
        <s v="Kiran Gupta"/>
        <s v="Arjun Sharma"/>
        <s v="Divya Kumar"/>
        <s v="Kavya Gupta"/>
        <s v="Priya Rao"/>
        <s v="Meena Singh"/>
        <s v="Swathi Devi"/>
        <s v="Anil Kumar"/>
        <s v="Rahul Reddy"/>
        <s v="Vikram Gupta"/>
        <s v="Harish Reddy"/>
        <s v="Kavya Verma"/>
        <s v="Divya Nair"/>
        <s v="Meena Rao"/>
        <s v="Divya Singh"/>
        <s v="Suresh Reddy"/>
        <s v="Neha Reddy"/>
        <s v="Meena Nair"/>
        <s v="Kiran Verma"/>
        <s v="Priya Sharma"/>
        <s v="Neha Singh"/>
        <s v="Harish Gupta"/>
        <s v="Pooja Nair"/>
        <s v="Naveen Verma"/>
        <s v="Pooja Devi"/>
        <s v="Lakshmi Rao"/>
        <s v="Vikram Sharma"/>
        <s v="Swathi Gupta"/>
        <s v="Anil Singh"/>
        <s v="Divya Gupta"/>
        <s v="Suresh Singh"/>
        <s v="Kiran Patel"/>
        <s v="Arjun Verma"/>
        <s v="Harish Rao"/>
        <s v="Arjun Patel"/>
        <s v="Pooja Gupta"/>
        <s v="Pooja Singh"/>
        <s v="Kiran Rao"/>
        <s v="Neha Verma"/>
        <s v="Sneha Singh"/>
        <s v="Pooja Rao"/>
        <s v="Swathi Singh"/>
        <s v="Anjali Devi"/>
        <s v="Amit Kumar"/>
        <s v="Swathi Kumar"/>
        <s v="Amit Verma"/>
        <s v="Divya Rao"/>
        <s v="Meena Reddy"/>
        <s v="Suresh Sharma"/>
        <s v="Suresh Kumar"/>
        <s v="Naveen Rao"/>
        <s v="Meena Verma"/>
        <s v="Anjali Kumar"/>
        <s v="Rahul Devi"/>
        <s v="Harish Verma"/>
        <s v="Amit Nair"/>
        <s v="Sneha Rao"/>
        <s v="Swathi Nair"/>
        <s v="Kavya Devi"/>
        <s v="Kavya Patel"/>
        <s v="Vikram Patel"/>
        <s v="Naveen Patel"/>
        <s v="Sneha Nair"/>
        <s v="Vikram Singh"/>
        <s v="Neha Devi"/>
        <s v="Anil Nair"/>
        <s v="Kiran Sharma"/>
        <s v="Suresh Gupta"/>
        <s v="Rahul Sharma"/>
        <s v="Harish Kumar"/>
        <s v="Pooja Sharma"/>
        <s v="Priya Verma"/>
        <s v="Kavya Rao"/>
        <s v="Pooja Patel"/>
        <s v="Anjali Patel"/>
        <s v="Vikram Devi"/>
        <s v="Sneha Reddy"/>
        <s v="Rohit Reddy"/>
        <s v="Arjun Nair"/>
        <s v="Priya Gupta"/>
        <s v="Kiran Reddy"/>
        <s v="Lakshmi Gupta"/>
        <s v="Anjali Rao"/>
      </sharedItems>
    </cacheField>
    <cacheField name="Region" numFmtId="0">
      <sharedItems count="4">
        <s v="North"/>
        <s v="South"/>
        <s v="East"/>
        <s v="West"/>
      </sharedItems>
    </cacheField>
    <cacheField name="Salesperson" numFmtId="0">
      <sharedItems/>
    </cacheField>
    <cacheField name="Product" numFmtId="0">
      <sharedItems count="12">
        <s v="Monitor"/>
        <s v="Wireless Mouse"/>
        <s v="Keyboard"/>
        <s v="Printer"/>
        <s v="External HDD"/>
        <s v="Office Chair"/>
        <s v="SSD"/>
        <s v="Office Table"/>
        <s v="Webcam"/>
        <s v="Laptop"/>
        <s v="Headphones"/>
        <s v="Tablet"/>
      </sharedItems>
    </cacheField>
    <cacheField name="Category" numFmtId="0">
      <sharedItems count="4">
        <s v="Electronics"/>
        <s v="Accessories"/>
        <s v="Storage"/>
        <s v="Furniture"/>
      </sharedItems>
    </cacheField>
    <cacheField name="Quantity" numFmtId="0">
      <sharedItems containsSemiMixedTypes="0" containsString="0" containsNumber="1" containsInteger="1" minValue="1" maxValue="6" count="6">
        <n v="1"/>
        <n v="2"/>
        <n v="6"/>
        <n v="3"/>
        <n v="5"/>
        <n v="4"/>
      </sharedItems>
    </cacheField>
    <cacheField name="Unit_Price" numFmtId="0">
      <sharedItems containsSemiMixedTypes="0" containsString="0" containsNumber="1" containsInteger="1" minValue="1200" maxValue="55000"/>
    </cacheField>
    <cacheField name="Discount" numFmtId="0">
      <sharedItems containsSemiMixedTypes="0" containsString="0" containsNumber="1" minValue="0" maxValue="0.15"/>
    </cacheField>
    <cacheField name="Sales" numFmtId="0">
      <sharedItems containsSemiMixedTypes="0" containsString="0" containsNumber="1" containsInteger="1" minValue="1200" maxValue="297000" count="98">
        <n v="13500"/>
        <n v="2400"/>
        <n v="9180"/>
        <n v="33750"/>
        <n v="29250"/>
        <n v="21675"/>
        <n v="45000"/>
        <n v="37050"/>
        <n v="5400"/>
        <n v="14500"/>
        <n v="65250"/>
        <n v="7200"/>
        <n v="8550"/>
        <n v="35625"/>
        <n v="6480"/>
        <n v="11875"/>
        <n v="71250"/>
        <n v="1200"/>
        <n v="6500"/>
        <n v="6840"/>
        <n v="52250"/>
        <n v="198000"/>
        <n v="1800"/>
        <n v="3825"/>
        <n v="3060"/>
        <n v="4500"/>
        <n v="5950"/>
        <n v="14250"/>
        <n v="3500"/>
        <n v="25200"/>
        <n v="23750"/>
        <n v="8075"/>
        <n v="7225"/>
        <n v="4320"/>
        <n v="42750"/>
        <n v="42500"/>
        <n v="159600"/>
        <n v="23400"/>
        <n v="20250"/>
        <n v="35100"/>
        <n v="4800"/>
        <n v="39000"/>
        <n v="56000"/>
        <n v="36125"/>
        <n v="11700"/>
        <n v="3420"/>
        <n v="58000"/>
        <n v="11900"/>
        <n v="12325"/>
        <n v="21250"/>
        <n v="37500"/>
        <n v="261250"/>
        <n v="22500"/>
        <n v="32300"/>
        <n v="100800"/>
        <n v="24700"/>
        <n v="9975"/>
        <n v="15750"/>
        <n v="6120"/>
        <n v="27000"/>
        <n v="12750"/>
        <n v="1620"/>
        <n v="21375"/>
        <n v="9000"/>
        <n v="19125"/>
        <n v="14000"/>
        <n v="22950"/>
        <n v="23800"/>
        <n v="95200"/>
        <n v="50400"/>
        <n v="233750"/>
        <n v="151200"/>
        <n v="5700"/>
        <n v="30600"/>
        <n v="25500"/>
        <n v="60000"/>
        <n v="8925"/>
        <n v="4275"/>
        <n v="57000"/>
        <n v="16150"/>
        <n v="25650"/>
        <n v="5525"/>
        <n v="12150"/>
        <n v="6375"/>
        <n v="40500"/>
        <n v="4590"/>
        <n v="33150"/>
        <n v="54000"/>
        <n v="13050"/>
        <n v="49500"/>
        <n v="297000"/>
        <n v="10625"/>
        <n v="4050"/>
        <n v="68875"/>
        <n v="34000"/>
        <n v="4860"/>
        <n v="90000"/>
        <n v="49300"/>
      </sharedItems>
    </cacheField>
    <cacheField name="Profit" numFmtId="0">
      <sharedItems containsSemiMixedTypes="0" containsString="0" containsNumber="1" minValue="254.16" maxValue="52530.12"/>
    </cacheField>
    <cacheField name="Payment_Method" numFmtId="0">
      <sharedItems/>
    </cacheField>
    <cacheField name="Status" numFmtId="0">
      <sharedItems/>
    </cacheField>
  </cacheFields>
  <extLst>
    <ext xmlns:x14="http://schemas.microsoft.com/office/spreadsheetml/2009/9/main" uri="{725AE2AE-9491-48be-B2B4-4EB974FC3084}">
      <x14:pivotCacheDefinition pivotCacheId="1985745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01"/>
    <d v="2025-11-24T00:00:00"/>
    <x v="0"/>
    <x v="0"/>
    <s v="Aditya"/>
    <x v="0"/>
    <x v="0"/>
    <x v="0"/>
    <n v="15000"/>
    <n v="0.1"/>
    <x v="0"/>
    <n v="1741.21"/>
    <s v="UPI"/>
    <s v="Completed"/>
  </r>
  <r>
    <s v="ORD0002"/>
    <d v="2025-02-17T00:00:00"/>
    <x v="1"/>
    <x v="1"/>
    <s v="Nisha"/>
    <x v="1"/>
    <x v="1"/>
    <x v="1"/>
    <n v="1200"/>
    <n v="0"/>
    <x v="1"/>
    <n v="461.4"/>
    <s v="Cash"/>
    <s v="Completed"/>
  </r>
  <r>
    <s v="ORD0003"/>
    <d v="2025-01-04T00:00:00"/>
    <x v="2"/>
    <x v="2"/>
    <s v="Ishita"/>
    <x v="2"/>
    <x v="1"/>
    <x v="2"/>
    <n v="1800"/>
    <n v="0.15"/>
    <x v="2"/>
    <n v="1359.1"/>
    <s v="UPI"/>
    <s v="Completed"/>
  </r>
  <r>
    <s v="ORD0004"/>
    <d v="2025-02-19T00:00:00"/>
    <x v="3"/>
    <x v="0"/>
    <s v="Aditya"/>
    <x v="3"/>
    <x v="0"/>
    <x v="3"/>
    <n v="12500"/>
    <n v="0.1"/>
    <x v="3"/>
    <n v="8148.12"/>
    <s v="UPI"/>
    <s v="Pending"/>
  </r>
  <r>
    <s v="ORD0005"/>
    <d v="2025-05-31T00:00:00"/>
    <x v="4"/>
    <x v="1"/>
    <s v="Karthik"/>
    <x v="4"/>
    <x v="2"/>
    <x v="4"/>
    <n v="6500"/>
    <n v="0.1"/>
    <x v="4"/>
    <n v="5717.51"/>
    <s v="UPI"/>
    <s v="Completed"/>
  </r>
  <r>
    <s v="ORD0006"/>
    <d v="2025-02-21T00:00:00"/>
    <x v="5"/>
    <x v="2"/>
    <s v="Megha"/>
    <x v="5"/>
    <x v="3"/>
    <x v="3"/>
    <n v="8500"/>
    <n v="0.15"/>
    <x v="5"/>
    <n v="4489.6899999999996"/>
    <s v="Credit Card"/>
    <s v="Cancelled"/>
  </r>
  <r>
    <s v="ORD0007"/>
    <d v="2025-05-17T00:00:00"/>
    <x v="6"/>
    <x v="1"/>
    <s v="Vivek"/>
    <x v="6"/>
    <x v="2"/>
    <x v="2"/>
    <n v="7500"/>
    <n v="0"/>
    <x v="6"/>
    <n v="9082.18"/>
    <s v="Net Banking"/>
    <s v="Completed"/>
  </r>
  <r>
    <s v="ORD0008"/>
    <d v="2025-05-19T00:00:00"/>
    <x v="7"/>
    <x v="0"/>
    <s v="Megha"/>
    <x v="4"/>
    <x v="2"/>
    <x v="2"/>
    <n v="6500"/>
    <n v="0.05"/>
    <x v="7"/>
    <n v="8036.99"/>
    <s v="Net Banking"/>
    <s v="Completed"/>
  </r>
  <r>
    <s v="ORD0009"/>
    <d v="2025-02-03T00:00:00"/>
    <x v="8"/>
    <x v="3"/>
    <s v="Vivek"/>
    <x v="1"/>
    <x v="1"/>
    <x v="4"/>
    <n v="1200"/>
    <n v="0.1"/>
    <x v="8"/>
    <n v="661.64"/>
    <s v="Debit Card"/>
    <s v="Completed"/>
  </r>
  <r>
    <s v="ORD0010"/>
    <d v="2025-05-07T00:00:00"/>
    <x v="9"/>
    <x v="3"/>
    <s v="Megha"/>
    <x v="6"/>
    <x v="2"/>
    <x v="4"/>
    <n v="7500"/>
    <n v="0.1"/>
    <x v="3"/>
    <n v="7742.34"/>
    <s v="Credit Card"/>
    <s v="Completed"/>
  </r>
  <r>
    <s v="ORD0011"/>
    <d v="2025-09-18T00:00:00"/>
    <x v="10"/>
    <x v="3"/>
    <s v="Ishita"/>
    <x v="7"/>
    <x v="3"/>
    <x v="0"/>
    <n v="14500"/>
    <n v="0"/>
    <x v="9"/>
    <n v="3657.2"/>
    <s v="Net Banking"/>
    <s v="Completed"/>
  </r>
  <r>
    <s v="ORD0012"/>
    <d v="2025-11-02T00:00:00"/>
    <x v="11"/>
    <x v="2"/>
    <s v="Megha"/>
    <x v="7"/>
    <x v="3"/>
    <x v="4"/>
    <n v="14500"/>
    <n v="0.1"/>
    <x v="10"/>
    <n v="17892.57"/>
    <s v="UPI"/>
    <s v="Completed"/>
  </r>
  <r>
    <s v="ORD0013"/>
    <d v="2025-08-11T00:00:00"/>
    <x v="12"/>
    <x v="1"/>
    <s v="Ishita"/>
    <x v="2"/>
    <x v="1"/>
    <x v="5"/>
    <n v="1800"/>
    <n v="0"/>
    <x v="11"/>
    <n v="1949.49"/>
    <s v="Debit Card"/>
    <s v="Cancelled"/>
  </r>
  <r>
    <s v="ORD0014"/>
    <d v="2025-09-17T00:00:00"/>
    <x v="6"/>
    <x v="0"/>
    <s v="Megha"/>
    <x v="8"/>
    <x v="0"/>
    <x v="1"/>
    <n v="4500"/>
    <n v="0.05"/>
    <x v="12"/>
    <n v="1323.39"/>
    <s v="Net Banking"/>
    <s v="Completed"/>
  </r>
  <r>
    <s v="ORD0015"/>
    <d v="2025-02-27T00:00:00"/>
    <x v="13"/>
    <x v="0"/>
    <s v="Nisha"/>
    <x v="3"/>
    <x v="0"/>
    <x v="3"/>
    <n v="12500"/>
    <n v="0.05"/>
    <x v="13"/>
    <n v="3262.72"/>
    <s v="UPI"/>
    <s v="Pending"/>
  </r>
  <r>
    <s v="ORD0016"/>
    <d v="2025-03-06T00:00:00"/>
    <x v="14"/>
    <x v="3"/>
    <s v="Riya"/>
    <x v="2"/>
    <x v="1"/>
    <x v="2"/>
    <n v="1800"/>
    <n v="0.15"/>
    <x v="2"/>
    <n v="2472.81"/>
    <s v="Cash"/>
    <s v="Cancelled"/>
  </r>
  <r>
    <s v="ORD0017"/>
    <d v="2025-12-20T00:00:00"/>
    <x v="15"/>
    <x v="3"/>
    <s v="Ishita"/>
    <x v="1"/>
    <x v="1"/>
    <x v="2"/>
    <n v="1200"/>
    <n v="0.1"/>
    <x v="14"/>
    <n v="1035.49"/>
    <s v="Credit Card"/>
    <s v="Completed"/>
  </r>
  <r>
    <s v="ORD0018"/>
    <d v="2025-02-02T00:00:00"/>
    <x v="11"/>
    <x v="0"/>
    <s v="Riya"/>
    <x v="3"/>
    <x v="0"/>
    <x v="0"/>
    <n v="12500"/>
    <n v="0.05"/>
    <x v="15"/>
    <n v="2347.5500000000002"/>
    <s v="UPI"/>
    <s v="Completed"/>
  </r>
  <r>
    <s v="ORD0019"/>
    <d v="2025-06-19T00:00:00"/>
    <x v="16"/>
    <x v="1"/>
    <s v="Nisha"/>
    <x v="0"/>
    <x v="0"/>
    <x v="4"/>
    <n v="15000"/>
    <n v="0.05"/>
    <x v="16"/>
    <n v="9668.2999999999993"/>
    <s v="Credit Card"/>
    <s v="Completed"/>
  </r>
  <r>
    <s v="ORD0020"/>
    <d v="2025-07-28T00:00:00"/>
    <x v="17"/>
    <x v="3"/>
    <s v="Nisha"/>
    <x v="1"/>
    <x v="1"/>
    <x v="0"/>
    <n v="1200"/>
    <n v="0"/>
    <x v="17"/>
    <n v="254.16"/>
    <s v="UPI"/>
    <s v="Cancelled"/>
  </r>
  <r>
    <s v="ORD0021"/>
    <d v="2025-12-01T00:00:00"/>
    <x v="18"/>
    <x v="1"/>
    <s v="Riya"/>
    <x v="4"/>
    <x v="2"/>
    <x v="0"/>
    <n v="6500"/>
    <n v="0"/>
    <x v="18"/>
    <n v="1043.4100000000001"/>
    <s v="Credit Card"/>
    <s v="Pending"/>
  </r>
  <r>
    <s v="ORD0022"/>
    <d v="2025-08-18T00:00:00"/>
    <x v="19"/>
    <x v="3"/>
    <s v="Ishita"/>
    <x v="2"/>
    <x v="1"/>
    <x v="5"/>
    <n v="1800"/>
    <n v="0.05"/>
    <x v="19"/>
    <n v="928.25"/>
    <s v="UPI"/>
    <s v="Cancelled"/>
  </r>
  <r>
    <s v="ORD0023"/>
    <d v="2025-10-04T00:00:00"/>
    <x v="20"/>
    <x v="1"/>
    <s v="Aditya"/>
    <x v="9"/>
    <x v="0"/>
    <x v="0"/>
    <n v="55000"/>
    <n v="0.05"/>
    <x v="20"/>
    <n v="5917.95"/>
    <s v="UPI"/>
    <s v="Completed"/>
  </r>
  <r>
    <s v="ORD0024"/>
    <d v="2025-07-14T00:00:00"/>
    <x v="21"/>
    <x v="3"/>
    <s v="Nisha"/>
    <x v="9"/>
    <x v="0"/>
    <x v="5"/>
    <n v="55000"/>
    <n v="0.1"/>
    <x v="21"/>
    <n v="52530.12"/>
    <s v="Credit Card"/>
    <s v="Completed"/>
  </r>
  <r>
    <s v="ORD0025"/>
    <d v="2025-06-01T00:00:00"/>
    <x v="22"/>
    <x v="3"/>
    <s v="Vivek"/>
    <x v="1"/>
    <x v="1"/>
    <x v="0"/>
    <n v="1200"/>
    <n v="0"/>
    <x v="17"/>
    <n v="275.51"/>
    <s v="UPI"/>
    <s v="Pending"/>
  </r>
  <r>
    <s v="ORD0026"/>
    <d v="2025-02-11T00:00:00"/>
    <x v="23"/>
    <x v="0"/>
    <s v="Riya"/>
    <x v="2"/>
    <x v="1"/>
    <x v="0"/>
    <n v="1800"/>
    <n v="0"/>
    <x v="22"/>
    <n v="387.08"/>
    <s v="Cash"/>
    <s v="Pending"/>
  </r>
  <r>
    <s v="ORD0027"/>
    <d v="2025-01-21T00:00:00"/>
    <x v="24"/>
    <x v="2"/>
    <s v="Karthik"/>
    <x v="8"/>
    <x v="0"/>
    <x v="0"/>
    <n v="4500"/>
    <n v="0.15"/>
    <x v="23"/>
    <n v="808.89"/>
    <s v="Credit Card"/>
    <s v="Cancelled"/>
  </r>
  <r>
    <s v="ORD0028"/>
    <d v="2025-06-10T00:00:00"/>
    <x v="25"/>
    <x v="2"/>
    <s v="Ishita"/>
    <x v="1"/>
    <x v="1"/>
    <x v="3"/>
    <n v="1200"/>
    <n v="0.15"/>
    <x v="24"/>
    <n v="324.89999999999998"/>
    <s v="UPI"/>
    <s v="Completed"/>
  </r>
  <r>
    <s v="ORD0029"/>
    <d v="2025-11-15T00:00:00"/>
    <x v="26"/>
    <x v="1"/>
    <s v="Megha"/>
    <x v="8"/>
    <x v="0"/>
    <x v="0"/>
    <n v="4500"/>
    <n v="0"/>
    <x v="25"/>
    <n v="843.87"/>
    <s v="UPI"/>
    <s v="Completed"/>
  </r>
  <r>
    <s v="ORD0030"/>
    <d v="2025-07-09T00:00:00"/>
    <x v="27"/>
    <x v="0"/>
    <s v="Karthik"/>
    <x v="10"/>
    <x v="1"/>
    <x v="1"/>
    <n v="3500"/>
    <n v="0.15"/>
    <x v="26"/>
    <n v="1468.16"/>
    <s v="UPI"/>
    <s v="Completed"/>
  </r>
  <r>
    <s v="ORD0031"/>
    <d v="2025-05-16T00:00:00"/>
    <x v="28"/>
    <x v="2"/>
    <s v="Riya"/>
    <x v="0"/>
    <x v="0"/>
    <x v="0"/>
    <n v="15000"/>
    <n v="0.05"/>
    <x v="27"/>
    <n v="1916.19"/>
    <s v="Debit Card"/>
    <s v="Pending"/>
  </r>
  <r>
    <s v="ORD0032"/>
    <d v="2025-09-08T00:00:00"/>
    <x v="29"/>
    <x v="0"/>
    <s v="Megha"/>
    <x v="10"/>
    <x v="1"/>
    <x v="0"/>
    <n v="3500"/>
    <n v="0"/>
    <x v="28"/>
    <n v="724"/>
    <s v="Credit Card"/>
    <s v="Cancelled"/>
  </r>
  <r>
    <s v="ORD0033"/>
    <d v="2025-05-15T00:00:00"/>
    <x v="30"/>
    <x v="0"/>
    <s v="Ishita"/>
    <x v="2"/>
    <x v="1"/>
    <x v="2"/>
    <n v="1800"/>
    <n v="0.15"/>
    <x v="2"/>
    <n v="1747.29"/>
    <s v="UPI"/>
    <s v="Cancelled"/>
  </r>
  <r>
    <s v="ORD0034"/>
    <d v="2025-03-18T00:00:00"/>
    <x v="31"/>
    <x v="1"/>
    <s v="Aarav"/>
    <x v="11"/>
    <x v="0"/>
    <x v="0"/>
    <n v="28000"/>
    <n v="0.1"/>
    <x v="29"/>
    <n v="4951.8500000000004"/>
    <s v="Debit Card"/>
    <s v="Completed"/>
  </r>
  <r>
    <s v="ORD0035"/>
    <d v="2025-01-21T00:00:00"/>
    <x v="32"/>
    <x v="3"/>
    <s v="Vivek"/>
    <x v="3"/>
    <x v="0"/>
    <x v="1"/>
    <n v="12500"/>
    <n v="0.05"/>
    <x v="30"/>
    <n v="5067.93"/>
    <s v="Credit Card"/>
    <s v="Completed"/>
  </r>
  <r>
    <s v="ORD0036"/>
    <d v="2025-04-01T00:00:00"/>
    <x v="33"/>
    <x v="1"/>
    <s v="Karthik"/>
    <x v="5"/>
    <x v="3"/>
    <x v="0"/>
    <n v="8500"/>
    <n v="0.05"/>
    <x v="31"/>
    <n v="1835.55"/>
    <s v="Credit Card"/>
    <s v="Cancelled"/>
  </r>
  <r>
    <s v="ORD0037"/>
    <d v="2025-02-25T00:00:00"/>
    <x v="34"/>
    <x v="2"/>
    <s v="Riya"/>
    <x v="5"/>
    <x v="3"/>
    <x v="0"/>
    <n v="8500"/>
    <n v="0.15"/>
    <x v="32"/>
    <n v="899.42"/>
    <s v="Credit Card"/>
    <s v="Completed"/>
  </r>
  <r>
    <s v="ORD0038"/>
    <d v="2025-12-04T00:00:00"/>
    <x v="35"/>
    <x v="2"/>
    <s v="Aditya"/>
    <x v="1"/>
    <x v="1"/>
    <x v="5"/>
    <n v="1200"/>
    <n v="0.1"/>
    <x v="33"/>
    <n v="586.30999999999995"/>
    <s v="Cash"/>
    <s v="Completed"/>
  </r>
  <r>
    <s v="ORD0039"/>
    <d v="2025-01-15T00:00:00"/>
    <x v="29"/>
    <x v="0"/>
    <s v="Aditya"/>
    <x v="0"/>
    <x v="0"/>
    <x v="3"/>
    <n v="15000"/>
    <n v="0.05"/>
    <x v="34"/>
    <n v="8384.0400000000009"/>
    <s v="Debit Card"/>
    <s v="Cancelled"/>
  </r>
  <r>
    <s v="ORD0040"/>
    <d v="2025-06-10T00:00:00"/>
    <x v="36"/>
    <x v="2"/>
    <s v="Aarav"/>
    <x v="5"/>
    <x v="3"/>
    <x v="4"/>
    <n v="8500"/>
    <n v="0"/>
    <x v="35"/>
    <n v="6674.16"/>
    <s v="Net Banking"/>
    <s v="Completed"/>
  </r>
  <r>
    <s v="ORD0041"/>
    <d v="2025-09-24T00:00:00"/>
    <x v="37"/>
    <x v="2"/>
    <s v="Ishita"/>
    <x v="11"/>
    <x v="0"/>
    <x v="2"/>
    <n v="28000"/>
    <n v="0.05"/>
    <x v="36"/>
    <n v="24393.95"/>
    <s v="Debit Card"/>
    <s v="Pending"/>
  </r>
  <r>
    <s v="ORD0042"/>
    <d v="2025-06-08T00:00:00"/>
    <x v="38"/>
    <x v="1"/>
    <s v="Riya"/>
    <x v="4"/>
    <x v="2"/>
    <x v="5"/>
    <n v="6500"/>
    <n v="0.1"/>
    <x v="37"/>
    <n v="3755.23"/>
    <s v="Net Banking"/>
    <s v="Cancelled"/>
  </r>
  <r>
    <s v="ORD0043"/>
    <d v="2025-07-14T00:00:00"/>
    <x v="39"/>
    <x v="0"/>
    <s v="Karthik"/>
    <x v="4"/>
    <x v="2"/>
    <x v="2"/>
    <n v="6500"/>
    <n v="0.05"/>
    <x v="7"/>
    <n v="7524.97"/>
    <s v="Debit Card"/>
    <s v="Completed"/>
  </r>
  <r>
    <s v="ORD0044"/>
    <d v="2025-08-09T00:00:00"/>
    <x v="40"/>
    <x v="3"/>
    <s v="Vivek"/>
    <x v="8"/>
    <x v="0"/>
    <x v="4"/>
    <n v="4500"/>
    <n v="0.1"/>
    <x v="38"/>
    <n v="3503.2"/>
    <s v="UPI"/>
    <s v="Completed"/>
  </r>
  <r>
    <s v="ORD0045"/>
    <d v="2025-09-21T00:00:00"/>
    <x v="41"/>
    <x v="1"/>
    <s v="Riya"/>
    <x v="4"/>
    <x v="2"/>
    <x v="2"/>
    <n v="6500"/>
    <n v="0.1"/>
    <x v="39"/>
    <n v="3463.58"/>
    <s v="Credit Card"/>
    <s v="Completed"/>
  </r>
  <r>
    <s v="ORD0046"/>
    <d v="2025-01-24T00:00:00"/>
    <x v="36"/>
    <x v="3"/>
    <s v="Nisha"/>
    <x v="1"/>
    <x v="1"/>
    <x v="5"/>
    <n v="1200"/>
    <n v="0"/>
    <x v="40"/>
    <n v="821.2"/>
    <s v="Net Banking"/>
    <s v="Completed"/>
  </r>
  <r>
    <s v="ORD0047"/>
    <d v="2025-03-17T00:00:00"/>
    <x v="42"/>
    <x v="1"/>
    <s v="Vivek"/>
    <x v="4"/>
    <x v="2"/>
    <x v="2"/>
    <n v="6500"/>
    <n v="0"/>
    <x v="41"/>
    <n v="10082.75"/>
    <s v="Cash"/>
    <s v="Completed"/>
  </r>
  <r>
    <s v="ORD0048"/>
    <d v="2025-01-26T00:00:00"/>
    <x v="3"/>
    <x v="2"/>
    <s v="Nisha"/>
    <x v="11"/>
    <x v="0"/>
    <x v="1"/>
    <n v="28000"/>
    <n v="0"/>
    <x v="42"/>
    <n v="9592.3700000000008"/>
    <s v="Cash"/>
    <s v="Cancelled"/>
  </r>
  <r>
    <s v="ORD0049"/>
    <d v="2025-09-16T00:00:00"/>
    <x v="20"/>
    <x v="2"/>
    <s v="Riya"/>
    <x v="5"/>
    <x v="3"/>
    <x v="4"/>
    <n v="8500"/>
    <n v="0.15"/>
    <x v="43"/>
    <n v="9372.33"/>
    <s v="Debit Card"/>
    <s v="Pending"/>
  </r>
  <r>
    <s v="ORD0050"/>
    <d v="2025-09-06T00:00:00"/>
    <x v="43"/>
    <x v="2"/>
    <s v="Megha"/>
    <x v="4"/>
    <x v="2"/>
    <x v="1"/>
    <n v="6500"/>
    <n v="0.1"/>
    <x v="44"/>
    <n v="1965.3"/>
    <s v="Debit Card"/>
    <s v="Pending"/>
  </r>
  <r>
    <s v="ORD0051"/>
    <d v="2025-02-11T00:00:00"/>
    <x v="2"/>
    <x v="0"/>
    <s v="Aditya"/>
    <x v="2"/>
    <x v="1"/>
    <x v="1"/>
    <n v="1800"/>
    <n v="0.05"/>
    <x v="45"/>
    <n v="535.6"/>
    <s v="Net Banking"/>
    <s v="Completed"/>
  </r>
  <r>
    <s v="ORD0052"/>
    <d v="2025-10-05T00:00:00"/>
    <x v="44"/>
    <x v="0"/>
    <s v="Aditya"/>
    <x v="7"/>
    <x v="3"/>
    <x v="5"/>
    <n v="14500"/>
    <n v="0"/>
    <x v="46"/>
    <n v="7039.28"/>
    <s v="Net Banking"/>
    <s v="Completed"/>
  </r>
  <r>
    <s v="ORD0053"/>
    <d v="2025-06-30T00:00:00"/>
    <x v="45"/>
    <x v="1"/>
    <s v="Nisha"/>
    <x v="10"/>
    <x v="1"/>
    <x v="5"/>
    <n v="3500"/>
    <n v="0.15"/>
    <x v="47"/>
    <n v="2232.96"/>
    <s v="Credit Card"/>
    <s v="Completed"/>
  </r>
  <r>
    <s v="ORD0054"/>
    <d v="2025-08-12T00:00:00"/>
    <x v="46"/>
    <x v="3"/>
    <s v="Vivek"/>
    <x v="7"/>
    <x v="3"/>
    <x v="0"/>
    <n v="14500"/>
    <n v="0.15"/>
    <x v="48"/>
    <n v="1814.56"/>
    <s v="Cash"/>
    <s v="Pending"/>
  </r>
  <r>
    <s v="ORD0055"/>
    <d v="2025-01-14T00:00:00"/>
    <x v="47"/>
    <x v="3"/>
    <s v="Vivek"/>
    <x v="5"/>
    <x v="3"/>
    <x v="4"/>
    <n v="8500"/>
    <n v="0"/>
    <x v="35"/>
    <n v="4113.55"/>
    <s v="UPI"/>
    <s v="Completed"/>
  </r>
  <r>
    <s v="ORD0056"/>
    <d v="2025-07-14T00:00:00"/>
    <x v="48"/>
    <x v="3"/>
    <s v="Karthik"/>
    <x v="3"/>
    <x v="0"/>
    <x v="1"/>
    <n v="12500"/>
    <n v="0.15"/>
    <x v="49"/>
    <n v="3089.09"/>
    <s v="UPI"/>
    <s v="Completed"/>
  </r>
  <r>
    <s v="ORD0057"/>
    <d v="2025-01-10T00:00:00"/>
    <x v="49"/>
    <x v="0"/>
    <s v="Aarav"/>
    <x v="6"/>
    <x v="2"/>
    <x v="4"/>
    <n v="7500"/>
    <n v="0"/>
    <x v="50"/>
    <n v="10499.31"/>
    <s v="UPI"/>
    <s v="Completed"/>
  </r>
  <r>
    <s v="ORD0058"/>
    <d v="2025-04-13T00:00:00"/>
    <x v="50"/>
    <x v="1"/>
    <s v="Nisha"/>
    <x v="9"/>
    <x v="0"/>
    <x v="4"/>
    <n v="55000"/>
    <n v="0.05"/>
    <x v="51"/>
    <n v="33363.97"/>
    <s v="Debit Card"/>
    <s v="Completed"/>
  </r>
  <r>
    <s v="ORD0059"/>
    <d v="2025-03-27T00:00:00"/>
    <x v="14"/>
    <x v="0"/>
    <s v="Aarav"/>
    <x v="8"/>
    <x v="0"/>
    <x v="4"/>
    <n v="4500"/>
    <n v="0"/>
    <x v="52"/>
    <n v="5300.06"/>
    <s v="Debit Card"/>
    <s v="Pending"/>
  </r>
  <r>
    <s v="ORD0060"/>
    <d v="2025-12-13T00:00:00"/>
    <x v="19"/>
    <x v="2"/>
    <s v="Ishita"/>
    <x v="5"/>
    <x v="3"/>
    <x v="5"/>
    <n v="8500"/>
    <n v="0.05"/>
    <x v="53"/>
    <n v="3074.94"/>
    <s v="Cash"/>
    <s v="Completed"/>
  </r>
  <r>
    <s v="ORD0061"/>
    <d v="2025-06-27T00:00:00"/>
    <x v="51"/>
    <x v="3"/>
    <s v="Nisha"/>
    <x v="11"/>
    <x v="0"/>
    <x v="5"/>
    <n v="28000"/>
    <n v="0.1"/>
    <x v="54"/>
    <n v="9454.17"/>
    <s v="UPI"/>
    <s v="Completed"/>
  </r>
  <r>
    <s v="ORD0062"/>
    <d v="2025-07-05T00:00:00"/>
    <x v="26"/>
    <x v="3"/>
    <s v="Nisha"/>
    <x v="4"/>
    <x v="2"/>
    <x v="5"/>
    <n v="6500"/>
    <n v="0.05"/>
    <x v="55"/>
    <n v="4127.3100000000004"/>
    <s v="Net Banking"/>
    <s v="Cancelled"/>
  </r>
  <r>
    <s v="ORD0063"/>
    <d v="2025-10-31T00:00:00"/>
    <x v="35"/>
    <x v="3"/>
    <s v="Riya"/>
    <x v="10"/>
    <x v="1"/>
    <x v="3"/>
    <n v="3500"/>
    <n v="0.05"/>
    <x v="56"/>
    <n v="2455.31"/>
    <s v="Net Banking"/>
    <s v="Pending"/>
  </r>
  <r>
    <s v="ORD0064"/>
    <d v="2025-11-09T00:00:00"/>
    <x v="52"/>
    <x v="3"/>
    <s v="Riya"/>
    <x v="4"/>
    <x v="2"/>
    <x v="5"/>
    <n v="6500"/>
    <n v="0.1"/>
    <x v="37"/>
    <n v="2006.32"/>
    <s v="Debit Card"/>
    <s v="Completed"/>
  </r>
  <r>
    <s v="ORD0065"/>
    <d v="2025-06-24T00:00:00"/>
    <x v="53"/>
    <x v="0"/>
    <s v="Riya"/>
    <x v="10"/>
    <x v="1"/>
    <x v="4"/>
    <n v="3500"/>
    <n v="0.1"/>
    <x v="57"/>
    <n v="3010.74"/>
    <s v="Net Banking"/>
    <s v="Completed"/>
  </r>
  <r>
    <s v="ORD0066"/>
    <d v="2025-10-12T00:00:00"/>
    <x v="20"/>
    <x v="0"/>
    <s v="Ishita"/>
    <x v="1"/>
    <x v="1"/>
    <x v="2"/>
    <n v="1200"/>
    <n v="0.15"/>
    <x v="58"/>
    <n v="1280.19"/>
    <s v="Debit Card"/>
    <s v="Completed"/>
  </r>
  <r>
    <s v="ORD0067"/>
    <d v="2025-07-27T00:00:00"/>
    <x v="15"/>
    <x v="2"/>
    <s v="Aditya"/>
    <x v="6"/>
    <x v="2"/>
    <x v="1"/>
    <n v="7500"/>
    <n v="0.1"/>
    <x v="0"/>
    <n v="2872.69"/>
    <s v="Cash"/>
    <s v="Completed"/>
  </r>
  <r>
    <s v="ORD0068"/>
    <d v="2025-06-30T00:00:00"/>
    <x v="19"/>
    <x v="1"/>
    <s v="Megha"/>
    <x v="6"/>
    <x v="2"/>
    <x v="5"/>
    <n v="7500"/>
    <n v="0.1"/>
    <x v="59"/>
    <n v="3815.76"/>
    <s v="UPI"/>
    <s v="Cancelled"/>
  </r>
  <r>
    <s v="ORD0069"/>
    <d v="2025-10-02T00:00:00"/>
    <x v="54"/>
    <x v="2"/>
    <s v="Ishita"/>
    <x v="6"/>
    <x v="2"/>
    <x v="1"/>
    <n v="7500"/>
    <n v="0.05"/>
    <x v="27"/>
    <n v="1756.7"/>
    <s v="Credit Card"/>
    <s v="Completed"/>
  </r>
  <r>
    <s v="ORD0070"/>
    <d v="2025-04-27T00:00:00"/>
    <x v="55"/>
    <x v="2"/>
    <s v="Aarav"/>
    <x v="3"/>
    <x v="0"/>
    <x v="1"/>
    <n v="12500"/>
    <n v="0.1"/>
    <x v="52"/>
    <n v="1863.67"/>
    <s v="UPI"/>
    <s v="Pending"/>
  </r>
  <r>
    <s v="ORD0071"/>
    <d v="2025-05-30T00:00:00"/>
    <x v="56"/>
    <x v="2"/>
    <s v="Nisha"/>
    <x v="6"/>
    <x v="2"/>
    <x v="1"/>
    <n v="7500"/>
    <n v="0.15"/>
    <x v="60"/>
    <n v="1281.5999999999999"/>
    <s v="Net Banking"/>
    <s v="Completed"/>
  </r>
  <r>
    <s v="ORD0072"/>
    <d v="2025-06-24T00:00:00"/>
    <x v="50"/>
    <x v="0"/>
    <s v="Aditya"/>
    <x v="2"/>
    <x v="1"/>
    <x v="0"/>
    <n v="1800"/>
    <n v="0.1"/>
    <x v="61"/>
    <n v="434.5"/>
    <s v="Net Banking"/>
    <s v="Completed"/>
  </r>
  <r>
    <s v="ORD0073"/>
    <d v="2025-10-23T00:00:00"/>
    <x v="57"/>
    <x v="0"/>
    <s v="Riya"/>
    <x v="4"/>
    <x v="2"/>
    <x v="2"/>
    <n v="6500"/>
    <n v="0"/>
    <x v="41"/>
    <n v="4303.47"/>
    <s v="UPI"/>
    <s v="Pending"/>
  </r>
  <r>
    <s v="ORD0074"/>
    <d v="2025-08-02T00:00:00"/>
    <x v="58"/>
    <x v="3"/>
    <s v="Karthik"/>
    <x v="8"/>
    <x v="0"/>
    <x v="4"/>
    <n v="4500"/>
    <n v="0.05"/>
    <x v="62"/>
    <n v="5026.09"/>
    <s v="Cash"/>
    <s v="Completed"/>
  </r>
  <r>
    <s v="ORD0075"/>
    <d v="2025-06-06T00:00:00"/>
    <x v="59"/>
    <x v="1"/>
    <s v="Karthik"/>
    <x v="8"/>
    <x v="0"/>
    <x v="4"/>
    <n v="4500"/>
    <n v="0"/>
    <x v="52"/>
    <n v="4543.34"/>
    <s v="UPI"/>
    <s v="Completed"/>
  </r>
  <r>
    <s v="ORD0076"/>
    <d v="2025-05-03T00:00:00"/>
    <x v="60"/>
    <x v="3"/>
    <s v="Karthik"/>
    <x v="2"/>
    <x v="1"/>
    <x v="4"/>
    <n v="1800"/>
    <n v="0"/>
    <x v="63"/>
    <n v="1001.76"/>
    <s v="UPI"/>
    <s v="Completed"/>
  </r>
  <r>
    <s v="ORD0077"/>
    <d v="2025-05-28T00:00:00"/>
    <x v="41"/>
    <x v="1"/>
    <s v="Aditya"/>
    <x v="6"/>
    <x v="2"/>
    <x v="3"/>
    <n v="7500"/>
    <n v="0.15"/>
    <x v="64"/>
    <n v="1802.26"/>
    <s v="UPI"/>
    <s v="Pending"/>
  </r>
  <r>
    <s v="ORD0078"/>
    <d v="2025-04-26T00:00:00"/>
    <x v="4"/>
    <x v="1"/>
    <s v="Karthik"/>
    <x v="4"/>
    <x v="2"/>
    <x v="1"/>
    <n v="6500"/>
    <n v="0.1"/>
    <x v="44"/>
    <n v="2870.32"/>
    <s v="Cash"/>
    <s v="Cancelled"/>
  </r>
  <r>
    <s v="ORD0079"/>
    <d v="2025-10-19T00:00:00"/>
    <x v="39"/>
    <x v="2"/>
    <s v="Nisha"/>
    <x v="10"/>
    <x v="1"/>
    <x v="5"/>
    <n v="3500"/>
    <n v="0"/>
    <x v="65"/>
    <n v="2432.35"/>
    <s v="Net Banking"/>
    <s v="Completed"/>
  </r>
  <r>
    <s v="ORD0080"/>
    <d v="2025-11-03T00:00:00"/>
    <x v="11"/>
    <x v="1"/>
    <s v="Aarav"/>
    <x v="9"/>
    <x v="0"/>
    <x v="5"/>
    <n v="55000"/>
    <n v="0.1"/>
    <x v="21"/>
    <n v="39747.06"/>
    <s v="Debit Card"/>
    <s v="Pending"/>
  </r>
  <r>
    <s v="ORD0081"/>
    <d v="2025-01-21T00:00:00"/>
    <x v="61"/>
    <x v="3"/>
    <s v="Nisha"/>
    <x v="2"/>
    <x v="1"/>
    <x v="5"/>
    <n v="1800"/>
    <n v="0.15"/>
    <x v="58"/>
    <n v="1610.87"/>
    <s v="UPI"/>
    <s v="Completed"/>
  </r>
  <r>
    <s v="ORD0082"/>
    <d v="2025-06-28T00:00:00"/>
    <x v="62"/>
    <x v="3"/>
    <s v="Nisha"/>
    <x v="5"/>
    <x v="3"/>
    <x v="3"/>
    <n v="8500"/>
    <n v="0.1"/>
    <x v="66"/>
    <n v="4911.91"/>
    <s v="Debit Card"/>
    <s v="Cancelled"/>
  </r>
  <r>
    <s v="ORD0083"/>
    <d v="2025-07-25T00:00:00"/>
    <x v="63"/>
    <x v="0"/>
    <s v="Aditya"/>
    <x v="11"/>
    <x v="0"/>
    <x v="0"/>
    <n v="28000"/>
    <n v="0.15"/>
    <x v="67"/>
    <n v="2323.16"/>
    <s v="Cash"/>
    <s v="Completed"/>
  </r>
  <r>
    <s v="ORD0084"/>
    <d v="2025-12-03T00:00:00"/>
    <x v="64"/>
    <x v="3"/>
    <s v="Nisha"/>
    <x v="11"/>
    <x v="0"/>
    <x v="5"/>
    <n v="28000"/>
    <n v="0.15"/>
    <x v="68"/>
    <n v="8648.0499999999993"/>
    <s v="UPI"/>
    <s v="Completed"/>
  </r>
  <r>
    <s v="ORD0085"/>
    <d v="2025-05-17T00:00:00"/>
    <x v="50"/>
    <x v="0"/>
    <s v="Riya"/>
    <x v="11"/>
    <x v="0"/>
    <x v="1"/>
    <n v="28000"/>
    <n v="0.1"/>
    <x v="69"/>
    <n v="8448.2099999999991"/>
    <s v="Credit Card"/>
    <s v="Completed"/>
  </r>
  <r>
    <s v="ORD0086"/>
    <d v="2025-10-10T00:00:00"/>
    <x v="65"/>
    <x v="0"/>
    <s v="Vivek"/>
    <x v="9"/>
    <x v="0"/>
    <x v="4"/>
    <n v="55000"/>
    <n v="0.15"/>
    <x v="70"/>
    <n v="23057.53"/>
    <s v="Net Banking"/>
    <s v="Cancelled"/>
  </r>
  <r>
    <s v="ORD0087"/>
    <d v="2025-05-30T00:00:00"/>
    <x v="20"/>
    <x v="1"/>
    <s v="Nisha"/>
    <x v="11"/>
    <x v="0"/>
    <x v="2"/>
    <n v="28000"/>
    <n v="0.1"/>
    <x v="71"/>
    <n v="24660.43"/>
    <s v="Cash"/>
    <s v="Completed"/>
  </r>
  <r>
    <s v="ORD0088"/>
    <d v="2025-07-16T00:00:00"/>
    <x v="66"/>
    <x v="2"/>
    <s v="Karthik"/>
    <x v="1"/>
    <x v="1"/>
    <x v="4"/>
    <n v="1200"/>
    <n v="0.05"/>
    <x v="72"/>
    <n v="1440.99"/>
    <s v="UPI"/>
    <s v="Completed"/>
  </r>
  <r>
    <s v="ORD0089"/>
    <d v="2025-06-02T00:00:00"/>
    <x v="3"/>
    <x v="3"/>
    <s v="Megha"/>
    <x v="8"/>
    <x v="0"/>
    <x v="4"/>
    <n v="4500"/>
    <n v="0.15"/>
    <x v="64"/>
    <n v="4839.62"/>
    <s v="Debit Card"/>
    <s v="Pending"/>
  </r>
  <r>
    <s v="ORD0090"/>
    <d v="2025-10-06T00:00:00"/>
    <x v="67"/>
    <x v="3"/>
    <s v="Riya"/>
    <x v="5"/>
    <x v="3"/>
    <x v="5"/>
    <n v="8500"/>
    <n v="0.1"/>
    <x v="73"/>
    <n v="7769.96"/>
    <s v="Net Banking"/>
    <s v="Completed"/>
  </r>
  <r>
    <s v="ORD0091"/>
    <d v="2025-06-12T00:00:00"/>
    <x v="68"/>
    <x v="0"/>
    <s v="Vivek"/>
    <x v="6"/>
    <x v="2"/>
    <x v="5"/>
    <n v="7500"/>
    <n v="0.15"/>
    <x v="74"/>
    <n v="4009"/>
    <s v="Cash"/>
    <s v="Pending"/>
  </r>
  <r>
    <s v="ORD0092"/>
    <d v="2025-06-19T00:00:00"/>
    <x v="69"/>
    <x v="1"/>
    <s v="Aditya"/>
    <x v="0"/>
    <x v="0"/>
    <x v="5"/>
    <n v="15000"/>
    <n v="0"/>
    <x v="75"/>
    <n v="11111.41"/>
    <s v="Credit Card"/>
    <s v="Completed"/>
  </r>
  <r>
    <s v="ORD0093"/>
    <d v="2025-08-29T00:00:00"/>
    <x v="70"/>
    <x v="3"/>
    <s v="Megha"/>
    <x v="10"/>
    <x v="1"/>
    <x v="3"/>
    <n v="3500"/>
    <n v="0.15"/>
    <x v="76"/>
    <n v="1873.96"/>
    <s v="Net Banking"/>
    <s v="Pending"/>
  </r>
  <r>
    <s v="ORD0094"/>
    <d v="2025-01-19T00:00:00"/>
    <x v="43"/>
    <x v="0"/>
    <s v="Aditya"/>
    <x v="8"/>
    <x v="0"/>
    <x v="0"/>
    <n v="4500"/>
    <n v="0.05"/>
    <x v="77"/>
    <n v="881.64"/>
    <s v="UPI"/>
    <s v="Cancelled"/>
  </r>
  <r>
    <s v="ORD0095"/>
    <d v="2025-12-27T00:00:00"/>
    <x v="71"/>
    <x v="2"/>
    <s v="Aarav"/>
    <x v="0"/>
    <x v="0"/>
    <x v="5"/>
    <n v="15000"/>
    <n v="0.05"/>
    <x v="78"/>
    <n v="12471.61"/>
    <s v="Debit Card"/>
    <s v="Completed"/>
  </r>
  <r>
    <s v="ORD0096"/>
    <d v="2025-07-11T00:00:00"/>
    <x v="72"/>
    <x v="1"/>
    <s v="Vivek"/>
    <x v="5"/>
    <x v="3"/>
    <x v="1"/>
    <n v="8500"/>
    <n v="0.05"/>
    <x v="79"/>
    <n v="3007.67"/>
    <s v="UPI"/>
    <s v="Pending"/>
  </r>
  <r>
    <s v="ORD0097"/>
    <d v="2025-07-15T00:00:00"/>
    <x v="72"/>
    <x v="1"/>
    <s v="Nisha"/>
    <x v="8"/>
    <x v="0"/>
    <x v="2"/>
    <n v="4500"/>
    <n v="0.05"/>
    <x v="80"/>
    <n v="4605.03"/>
    <s v="Debit Card"/>
    <s v="Completed"/>
  </r>
  <r>
    <s v="ORD0098"/>
    <d v="2025-05-11T00:00:00"/>
    <x v="55"/>
    <x v="0"/>
    <s v="Nisha"/>
    <x v="4"/>
    <x v="2"/>
    <x v="0"/>
    <n v="6500"/>
    <n v="0.15"/>
    <x v="81"/>
    <n v="1437.84"/>
    <s v="Debit Card"/>
    <s v="Pending"/>
  </r>
  <r>
    <s v="ORD0099"/>
    <d v="2025-06-03T00:00:00"/>
    <x v="43"/>
    <x v="3"/>
    <s v="Nisha"/>
    <x v="4"/>
    <x v="2"/>
    <x v="5"/>
    <n v="6500"/>
    <n v="0.1"/>
    <x v="37"/>
    <n v="4009.99"/>
    <s v="UPI"/>
    <s v="Completed"/>
  </r>
  <r>
    <s v="ORD0100"/>
    <d v="2025-07-15T00:00:00"/>
    <x v="73"/>
    <x v="3"/>
    <s v="Karthik"/>
    <x v="8"/>
    <x v="0"/>
    <x v="3"/>
    <n v="4500"/>
    <n v="0.1"/>
    <x v="82"/>
    <n v="3384.24"/>
    <s v="UPI"/>
    <s v="Pending"/>
  </r>
  <r>
    <s v="ORD0101"/>
    <d v="2025-12-18T00:00:00"/>
    <x v="43"/>
    <x v="2"/>
    <s v="Riya"/>
    <x v="6"/>
    <x v="2"/>
    <x v="0"/>
    <n v="7500"/>
    <n v="0.15"/>
    <x v="83"/>
    <n v="1571.87"/>
    <s v="Credit Card"/>
    <s v="Pending"/>
  </r>
  <r>
    <s v="ORD0102"/>
    <d v="2025-05-09T00:00:00"/>
    <x v="74"/>
    <x v="3"/>
    <s v="Aarav"/>
    <x v="4"/>
    <x v="2"/>
    <x v="2"/>
    <n v="6500"/>
    <n v="0.05"/>
    <x v="7"/>
    <n v="7619.32"/>
    <s v="Cash"/>
    <s v="Completed"/>
  </r>
  <r>
    <s v="ORD0103"/>
    <d v="2025-03-09T00:00:00"/>
    <x v="75"/>
    <x v="1"/>
    <s v="Megha"/>
    <x v="0"/>
    <x v="0"/>
    <x v="3"/>
    <n v="15000"/>
    <n v="0.1"/>
    <x v="84"/>
    <n v="9294.6"/>
    <s v="Cash"/>
    <s v="Pending"/>
  </r>
  <r>
    <s v="ORD0104"/>
    <d v="2025-05-20T00:00:00"/>
    <x v="76"/>
    <x v="0"/>
    <s v="Nisha"/>
    <x v="2"/>
    <x v="1"/>
    <x v="3"/>
    <n v="1800"/>
    <n v="0.15"/>
    <x v="85"/>
    <n v="1255.26"/>
    <s v="UPI"/>
    <s v="Completed"/>
  </r>
  <r>
    <s v="ORD0105"/>
    <d v="2025-04-26T00:00:00"/>
    <x v="77"/>
    <x v="0"/>
    <s v="Aditya"/>
    <x v="4"/>
    <x v="2"/>
    <x v="2"/>
    <n v="6500"/>
    <n v="0.15"/>
    <x v="86"/>
    <n v="9065"/>
    <s v="UPI"/>
    <s v="Completed"/>
  </r>
  <r>
    <s v="ORD0106"/>
    <d v="2025-10-02T00:00:00"/>
    <x v="78"/>
    <x v="3"/>
    <s v="Megha"/>
    <x v="0"/>
    <x v="0"/>
    <x v="5"/>
    <n v="15000"/>
    <n v="0.1"/>
    <x v="87"/>
    <n v="11586.55"/>
    <s v="UPI"/>
    <s v="Cancelled"/>
  </r>
  <r>
    <s v="ORD0107"/>
    <d v="2025-04-30T00:00:00"/>
    <x v="19"/>
    <x v="3"/>
    <s v="Karthik"/>
    <x v="7"/>
    <x v="3"/>
    <x v="0"/>
    <n v="14500"/>
    <n v="0.1"/>
    <x v="88"/>
    <n v="3432.82"/>
    <s v="Net Banking"/>
    <s v="Completed"/>
  </r>
  <r>
    <s v="ORD0108"/>
    <d v="2025-03-13T00:00:00"/>
    <x v="79"/>
    <x v="1"/>
    <s v="Vivek"/>
    <x v="9"/>
    <x v="0"/>
    <x v="0"/>
    <n v="55000"/>
    <n v="0.1"/>
    <x v="89"/>
    <n v="13819.68"/>
    <s v="Net Banking"/>
    <s v="Completed"/>
  </r>
  <r>
    <s v="ORD0109"/>
    <d v="2025-07-09T00:00:00"/>
    <x v="31"/>
    <x v="0"/>
    <s v="Nisha"/>
    <x v="4"/>
    <x v="2"/>
    <x v="2"/>
    <n v="6500"/>
    <n v="0.15"/>
    <x v="86"/>
    <n v="6546.07"/>
    <s v="Cash"/>
    <s v="Completed"/>
  </r>
  <r>
    <s v="ORD0110"/>
    <d v="2025-05-24T00:00:00"/>
    <x v="40"/>
    <x v="2"/>
    <s v="Ishita"/>
    <x v="9"/>
    <x v="0"/>
    <x v="2"/>
    <n v="55000"/>
    <n v="0.1"/>
    <x v="90"/>
    <n v="36665.82"/>
    <s v="Debit Card"/>
    <s v="Pending"/>
  </r>
  <r>
    <s v="ORD0111"/>
    <d v="2025-11-27T00:00:00"/>
    <x v="65"/>
    <x v="0"/>
    <s v="Riya"/>
    <x v="3"/>
    <x v="0"/>
    <x v="0"/>
    <n v="12500"/>
    <n v="0.15"/>
    <x v="91"/>
    <n v="1436.25"/>
    <s v="Cash"/>
    <s v="Completed"/>
  </r>
  <r>
    <s v="ORD0112"/>
    <d v="2025-01-26T00:00:00"/>
    <x v="80"/>
    <x v="1"/>
    <s v="Riya"/>
    <x v="3"/>
    <x v="0"/>
    <x v="1"/>
    <n v="12500"/>
    <n v="0.05"/>
    <x v="30"/>
    <n v="5638.15"/>
    <s v="Credit Card"/>
    <s v="Completed"/>
  </r>
  <r>
    <s v="ORD0113"/>
    <d v="2025-03-17T00:00:00"/>
    <x v="10"/>
    <x v="2"/>
    <s v="Vivek"/>
    <x v="8"/>
    <x v="0"/>
    <x v="0"/>
    <n v="4500"/>
    <n v="0.1"/>
    <x v="92"/>
    <n v="1019.31"/>
    <s v="UPI"/>
    <s v="Cancelled"/>
  </r>
  <r>
    <s v="ORD0114"/>
    <d v="2025-01-14T00:00:00"/>
    <x v="67"/>
    <x v="2"/>
    <s v="Aarav"/>
    <x v="2"/>
    <x v="1"/>
    <x v="0"/>
    <n v="1800"/>
    <n v="0.1"/>
    <x v="61"/>
    <n v="385.56"/>
    <s v="Credit Card"/>
    <s v="Completed"/>
  </r>
  <r>
    <s v="ORD0115"/>
    <d v="2025-01-27T00:00:00"/>
    <x v="81"/>
    <x v="3"/>
    <s v="Megha"/>
    <x v="2"/>
    <x v="1"/>
    <x v="2"/>
    <n v="1800"/>
    <n v="0.15"/>
    <x v="2"/>
    <n v="1700.29"/>
    <s v="Cash"/>
    <s v="Pending"/>
  </r>
  <r>
    <s v="ORD0116"/>
    <d v="2025-02-25T00:00:00"/>
    <x v="82"/>
    <x v="2"/>
    <s v="Nisha"/>
    <x v="7"/>
    <x v="3"/>
    <x v="4"/>
    <n v="14500"/>
    <n v="0.05"/>
    <x v="93"/>
    <n v="18533.099999999999"/>
    <s v="UPI"/>
    <s v="Completed"/>
  </r>
  <r>
    <s v="ORD0117"/>
    <d v="2025-09-03T00:00:00"/>
    <x v="83"/>
    <x v="0"/>
    <s v="Megha"/>
    <x v="5"/>
    <x v="3"/>
    <x v="5"/>
    <n v="8500"/>
    <n v="0"/>
    <x v="94"/>
    <n v="6053.83"/>
    <s v="Cash"/>
    <s v="Completed"/>
  </r>
  <r>
    <s v="ORD0118"/>
    <d v="2025-02-03T00:00:00"/>
    <x v="84"/>
    <x v="2"/>
    <s v="Nisha"/>
    <x v="2"/>
    <x v="1"/>
    <x v="3"/>
    <n v="1800"/>
    <n v="0.1"/>
    <x v="95"/>
    <n v="759.04"/>
    <s v="Cash"/>
    <s v="Pending"/>
  </r>
  <r>
    <s v="ORD0119"/>
    <d v="2025-08-09T00:00:00"/>
    <x v="85"/>
    <x v="3"/>
    <s v="Nisha"/>
    <x v="0"/>
    <x v="0"/>
    <x v="2"/>
    <n v="15000"/>
    <n v="0"/>
    <x v="96"/>
    <n v="22550.27"/>
    <s v="Credit Card"/>
    <s v="Completed"/>
  </r>
  <r>
    <s v="ORD0120"/>
    <d v="2025-06-23T00:00:00"/>
    <x v="33"/>
    <x v="2"/>
    <s v="Karthik"/>
    <x v="7"/>
    <x v="3"/>
    <x v="5"/>
    <n v="14500"/>
    <n v="0.15"/>
    <x v="97"/>
    <n v="11137.98"/>
    <s v="Debit Card"/>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33B9E-3718-4743-BCF3-9C41E52514A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0:C163" firstHeaderRow="1" firstDataRow="1" firstDataCol="1"/>
  <pivotFields count="14">
    <pivotField showAll="0"/>
    <pivotField numFmtId="164" showAll="0"/>
    <pivotField showAll="0"/>
    <pivotField showAll="0"/>
    <pivotField showAll="0"/>
    <pivotField axis="axisRow" showAll="0">
      <items count="13">
        <item x="4"/>
        <item x="10"/>
        <item x="2"/>
        <item x="9"/>
        <item x="0"/>
        <item x="5"/>
        <item x="7"/>
        <item x="3"/>
        <item x="6"/>
        <item x="11"/>
        <item x="8"/>
        <item x="1"/>
        <item t="default"/>
      </items>
    </pivotField>
    <pivotField showAll="0"/>
    <pivotField dataField="1" showAll="0">
      <items count="7">
        <item x="0"/>
        <item x="1"/>
        <item x="3"/>
        <item x="5"/>
        <item x="4"/>
        <item x="2"/>
        <item t="default"/>
      </items>
    </pivotField>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56EB17-FF1C-4301-BDB3-41534234F8C5}"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1:K147" firstHeaderRow="1" firstDataRow="2" firstDataCol="1"/>
  <pivotFields count="14">
    <pivotField showAll="0"/>
    <pivotField numFmtId="164" showAll="0"/>
    <pivotField showAll="0"/>
    <pivotField axis="axisCol" showAll="0">
      <items count="5">
        <item x="2"/>
        <item x="0"/>
        <item x="1"/>
        <item x="3"/>
        <item t="default"/>
      </items>
    </pivotField>
    <pivotField showAll="0"/>
    <pivotField showAll="0"/>
    <pivotField axis="axisRow" showAll="0">
      <items count="5">
        <item x="1"/>
        <item x="0"/>
        <item x="3"/>
        <item x="2"/>
        <item t="default"/>
      </items>
    </pivotField>
    <pivotField showAll="0"/>
    <pivotField showAll="0"/>
    <pivotField showAll="0"/>
    <pivotField dataField="1" showAll="0"/>
    <pivotField showAll="0"/>
    <pivotField showAll="0"/>
    <pivotField showAll="0"/>
  </pivotFields>
  <rowFields count="1">
    <field x="6"/>
  </rowFields>
  <rowItems count="5">
    <i>
      <x/>
    </i>
    <i>
      <x v="1"/>
    </i>
    <i>
      <x v="2"/>
    </i>
    <i>
      <x v="3"/>
    </i>
    <i t="grand">
      <x/>
    </i>
  </rowItems>
  <colFields count="1">
    <field x="3"/>
  </colFields>
  <colItems count="5">
    <i>
      <x/>
    </i>
    <i>
      <x v="1"/>
    </i>
    <i>
      <x v="2"/>
    </i>
    <i>
      <x v="3"/>
    </i>
    <i t="grand">
      <x/>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FDD577-63E2-4E6A-A639-F2D3A3C61EC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1:D146" firstHeaderRow="1" firstDataRow="1" firstDataCol="1"/>
  <pivotFields count="14">
    <pivotField showAll="0"/>
    <pivotField numFmtId="164" showAll="0"/>
    <pivotField showAll="0"/>
    <pivotField axis="axisRow" showAll="0">
      <items count="5">
        <item x="2"/>
        <item x="0"/>
        <item x="1"/>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49B5C-0FD4-43A1-8BFC-453596C2237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7:K132" firstHeaderRow="1" firstDataRow="1" firstDataCol="1"/>
  <pivotFields count="14">
    <pivotField showAll="0"/>
    <pivotField numFmtId="164" showAll="0"/>
    <pivotField showAll="0"/>
    <pivotField showAll="0"/>
    <pivotField showAll="0"/>
    <pivotField showAll="0"/>
    <pivotField axis="axisRow" showAll="0">
      <items count="5">
        <item x="1"/>
        <item x="0"/>
        <item x="3"/>
        <item x="2"/>
        <item t="default"/>
      </items>
    </pivotField>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A7BC0-4C3B-4EB0-A6AE-B0C1A4D6B6C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7:I133" firstHeaderRow="1" firstDataRow="1" firstDataCol="1"/>
  <pivotFields count="14">
    <pivotField showAll="0"/>
    <pivotField numFmtId="164" showAll="0"/>
    <pivotField axis="axisRow" showAll="0" measureFilter="1">
      <items count="87">
        <item x="46"/>
        <item x="58"/>
        <item x="48"/>
        <item x="10"/>
        <item x="68"/>
        <item x="2"/>
        <item x="0"/>
        <item x="31"/>
        <item x="45"/>
        <item x="55"/>
        <item x="77"/>
        <item x="85"/>
        <item x="1"/>
        <item x="81"/>
        <item x="37"/>
        <item x="4"/>
        <item x="35"/>
        <item x="32"/>
        <item x="5"/>
        <item x="15"/>
        <item x="49"/>
        <item x="17"/>
        <item x="24"/>
        <item x="72"/>
        <item x="36"/>
        <item x="13"/>
        <item x="57"/>
        <item x="61"/>
        <item x="6"/>
        <item x="62"/>
        <item x="75"/>
        <item x="14"/>
        <item x="3"/>
        <item x="34"/>
        <item x="40"/>
        <item x="83"/>
        <item x="69"/>
        <item x="21"/>
        <item x="84"/>
        <item x="28"/>
        <item x="20"/>
        <item x="16"/>
        <item x="50"/>
        <item x="8"/>
        <item x="54"/>
        <item x="64"/>
        <item x="53"/>
        <item x="26"/>
        <item x="67"/>
        <item x="19"/>
        <item x="23"/>
        <item x="41"/>
        <item x="27"/>
        <item x="38"/>
        <item x="25"/>
        <item x="76"/>
        <item x="43"/>
        <item x="73"/>
        <item x="39"/>
        <item x="82"/>
        <item x="7"/>
        <item x="22"/>
        <item x="74"/>
        <item x="56"/>
        <item x="11"/>
        <item x="71"/>
        <item x="80"/>
        <item x="65"/>
        <item x="59"/>
        <item x="79"/>
        <item x="42"/>
        <item x="70"/>
        <item x="52"/>
        <item x="18"/>
        <item x="51"/>
        <item x="33"/>
        <item x="9"/>
        <item x="30"/>
        <item x="47"/>
        <item x="60"/>
        <item x="44"/>
        <item x="78"/>
        <item x="12"/>
        <item x="63"/>
        <item x="29"/>
        <item x="66"/>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6">
    <i>
      <x v="34"/>
    </i>
    <i>
      <x v="40"/>
    </i>
    <i>
      <x v="42"/>
    </i>
    <i>
      <x v="64"/>
    </i>
    <i>
      <x v="67"/>
    </i>
    <i t="grand">
      <x/>
    </i>
  </rowItems>
  <colItems count="1">
    <i/>
  </colItems>
  <dataFields count="1">
    <dataField name="Sum of Sales" fld="10"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A60BAC-42B9-43D5-A917-AD8A93BD6DA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3:C136" firstHeaderRow="1" firstDataRow="1" firstDataCol="1"/>
  <pivotFields count="14">
    <pivotField showAll="0"/>
    <pivotField numFmtId="164" showAll="0"/>
    <pivotField showAll="0"/>
    <pivotField showAll="0"/>
    <pivotField showAll="0"/>
    <pivotField axis="axisRow" showAll="0">
      <items count="13">
        <item x="4"/>
        <item x="10"/>
        <item x="2"/>
        <item x="9"/>
        <item x="0"/>
        <item x="5"/>
        <item x="7"/>
        <item x="3"/>
        <item x="6"/>
        <item x="11"/>
        <item x="8"/>
        <item x="1"/>
        <item t="default"/>
      </items>
    </pivotField>
    <pivotField showAll="0"/>
    <pivotField showAll="0"/>
    <pivotField showAll="0"/>
    <pivotField showAll="0"/>
    <pivotField dataField="1" showAll="0">
      <items count="99">
        <item x="17"/>
        <item x="61"/>
        <item x="22"/>
        <item x="1"/>
        <item x="24"/>
        <item x="45"/>
        <item x="28"/>
        <item x="23"/>
        <item x="92"/>
        <item x="77"/>
        <item x="33"/>
        <item x="25"/>
        <item x="85"/>
        <item x="40"/>
        <item x="95"/>
        <item x="8"/>
        <item x="81"/>
        <item x="72"/>
        <item x="26"/>
        <item x="58"/>
        <item x="83"/>
        <item x="14"/>
        <item x="18"/>
        <item x="19"/>
        <item x="11"/>
        <item x="32"/>
        <item x="31"/>
        <item x="12"/>
        <item x="76"/>
        <item x="63"/>
        <item x="2"/>
        <item x="56"/>
        <item x="91"/>
        <item x="44"/>
        <item x="15"/>
        <item x="47"/>
        <item x="82"/>
        <item x="48"/>
        <item x="60"/>
        <item x="88"/>
        <item x="0"/>
        <item x="65"/>
        <item x="27"/>
        <item x="9"/>
        <item x="57"/>
        <item x="79"/>
        <item x="64"/>
        <item x="38"/>
        <item x="49"/>
        <item x="62"/>
        <item x="5"/>
        <item x="52"/>
        <item x="66"/>
        <item x="37"/>
        <item x="30"/>
        <item x="67"/>
        <item x="55"/>
        <item x="29"/>
        <item x="74"/>
        <item x="80"/>
        <item x="59"/>
        <item x="4"/>
        <item x="73"/>
        <item x="53"/>
        <item x="86"/>
        <item x="3"/>
        <item x="94"/>
        <item x="39"/>
        <item x="13"/>
        <item x="43"/>
        <item x="7"/>
        <item x="50"/>
        <item x="41"/>
        <item x="84"/>
        <item x="35"/>
        <item x="34"/>
        <item x="6"/>
        <item x="97"/>
        <item x="89"/>
        <item x="69"/>
        <item x="20"/>
        <item x="87"/>
        <item x="42"/>
        <item x="78"/>
        <item x="46"/>
        <item x="75"/>
        <item x="10"/>
        <item x="93"/>
        <item x="16"/>
        <item x="96"/>
        <item x="68"/>
        <item x="54"/>
        <item x="71"/>
        <item x="36"/>
        <item x="21"/>
        <item x="70"/>
        <item x="51"/>
        <item x="90"/>
        <item t="default"/>
      </items>
    </pivotField>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10B47F07-9B0A-4BBC-A2EA-8F6E343FB3DA}" sourceName="Sales">
  <pivotTables>
    <pivotTable tabId="1" name="PivotTable1"/>
  </pivotTables>
  <data>
    <tabular pivotCacheId="1985745251">
      <items count="98">
        <i x="17" s="1"/>
        <i x="61" s="1"/>
        <i x="22" s="1"/>
        <i x="1" s="1"/>
        <i x="24" s="1"/>
        <i x="45" s="1"/>
        <i x="28" s="1"/>
        <i x="23" s="1"/>
        <i x="92" s="1"/>
        <i x="77" s="1"/>
        <i x="33" s="1"/>
        <i x="25" s="1"/>
        <i x="85" s="1"/>
        <i x="40" s="1"/>
        <i x="95" s="1"/>
        <i x="8" s="1"/>
        <i x="81" s="1"/>
        <i x="72" s="1"/>
        <i x="26" s="1"/>
        <i x="58" s="1"/>
        <i x="83" s="1"/>
        <i x="14" s="1"/>
        <i x="18" s="1"/>
        <i x="19" s="1"/>
        <i x="11" s="1"/>
        <i x="32" s="1"/>
        <i x="31" s="1"/>
        <i x="12" s="1"/>
        <i x="76" s="1"/>
        <i x="63" s="1"/>
        <i x="2" s="1"/>
        <i x="56" s="1"/>
        <i x="91" s="1"/>
        <i x="44" s="1"/>
        <i x="15" s="1"/>
        <i x="47" s="1"/>
        <i x="82" s="1"/>
        <i x="48" s="1"/>
        <i x="60" s="1"/>
        <i x="88" s="1"/>
        <i x="0" s="1"/>
        <i x="65" s="1"/>
        <i x="27" s="1"/>
        <i x="9" s="1"/>
        <i x="57" s="1"/>
        <i x="79" s="1"/>
        <i x="64" s="1"/>
        <i x="38" s="1"/>
        <i x="49" s="1"/>
        <i x="62" s="1"/>
        <i x="5" s="1"/>
        <i x="52" s="1"/>
        <i x="66" s="1"/>
        <i x="37" s="1"/>
        <i x="30" s="1"/>
        <i x="67" s="1"/>
        <i x="55" s="1"/>
        <i x="29" s="1"/>
        <i x="74" s="1"/>
        <i x="80" s="1"/>
        <i x="59" s="1"/>
        <i x="4" s="1"/>
        <i x="73" s="1"/>
        <i x="53" s="1"/>
        <i x="86" s="1"/>
        <i x="3" s="1"/>
        <i x="94" s="1"/>
        <i x="39" s="1"/>
        <i x="13" s="1"/>
        <i x="43" s="1"/>
        <i x="7" s="1"/>
        <i x="50" s="1"/>
        <i x="41" s="1"/>
        <i x="84" s="1"/>
        <i x="35" s="1"/>
        <i x="34" s="1"/>
        <i x="6" s="1"/>
        <i x="97" s="1"/>
        <i x="89" s="1"/>
        <i x="69" s="1"/>
        <i x="20" s="1"/>
        <i x="87" s="1"/>
        <i x="42" s="1"/>
        <i x="78" s="1"/>
        <i x="46" s="1"/>
        <i x="75" s="1"/>
        <i x="10" s="1"/>
        <i x="93" s="1"/>
        <i x="16" s="1"/>
        <i x="96" s="1"/>
        <i x="68" s="1"/>
        <i x="54" s="1"/>
        <i x="71" s="1"/>
        <i x="36" s="1"/>
        <i x="21" s="1"/>
        <i x="70" s="1"/>
        <i x="51" s="1"/>
        <i x="9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6D72C864-EBA2-4A15-AF28-A4DEEDB92333}"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3"/>
  <sheetViews>
    <sheetView tabSelected="1" workbookViewId="0">
      <selection activeCell="E123" sqref="E123"/>
    </sheetView>
  </sheetViews>
  <sheetFormatPr defaultRowHeight="14.4" x14ac:dyDescent="0.3"/>
  <cols>
    <col min="2" max="2" width="14" bestFit="1" customWidth="1"/>
    <col min="3" max="3" width="14.88671875" bestFit="1" customWidth="1"/>
    <col min="4" max="4" width="11.6640625" bestFit="1" customWidth="1"/>
    <col min="5" max="5" width="12.33203125" customWidth="1"/>
    <col min="6" max="6" width="12.5546875" bestFit="1" customWidth="1"/>
    <col min="7" max="7" width="15.5546875" bestFit="1" customWidth="1"/>
    <col min="8" max="8" width="7" bestFit="1" customWidth="1"/>
    <col min="9" max="10" width="8" bestFit="1" customWidth="1"/>
    <col min="11" max="11" width="10.77734375" bestFit="1" customWidth="1"/>
    <col min="12" max="12" width="12" bestFit="1" customWidth="1"/>
    <col min="13" max="15" width="7" bestFit="1" customWidth="1"/>
    <col min="16" max="16" width="14.77734375" bestFit="1" customWidth="1"/>
    <col min="17" max="17" width="10.6640625" bestFit="1" customWidth="1"/>
    <col min="18" max="19" width="6" bestFit="1" customWidth="1"/>
    <col min="20" max="20" width="7" bestFit="1" customWidth="1"/>
    <col min="21" max="21" width="13.44140625" bestFit="1" customWidth="1"/>
    <col min="22" max="22" width="9.44140625" bestFit="1" customWidth="1"/>
    <col min="23" max="25" width="7" bestFit="1" customWidth="1"/>
    <col min="26" max="26" width="12.109375" bestFit="1" customWidth="1"/>
    <col min="27" max="27" width="10.77734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45985</v>
      </c>
      <c r="C2" t="s">
        <v>15</v>
      </c>
      <c r="D2" t="s">
        <v>16</v>
      </c>
      <c r="E2" t="s">
        <v>17</v>
      </c>
      <c r="F2" t="s">
        <v>18</v>
      </c>
      <c r="G2" t="s">
        <v>19</v>
      </c>
      <c r="H2">
        <v>1</v>
      </c>
      <c r="I2">
        <v>15000</v>
      </c>
      <c r="J2">
        <v>0.1</v>
      </c>
      <c r="K2">
        <v>13500</v>
      </c>
      <c r="L2">
        <v>1741.21</v>
      </c>
      <c r="M2" t="s">
        <v>20</v>
      </c>
      <c r="N2" t="s">
        <v>21</v>
      </c>
    </row>
    <row r="3" spans="1:14" x14ac:dyDescent="0.3">
      <c r="A3" t="s">
        <v>22</v>
      </c>
      <c r="B3" s="2">
        <v>45705</v>
      </c>
      <c r="C3" t="s">
        <v>23</v>
      </c>
      <c r="D3" t="s">
        <v>24</v>
      </c>
      <c r="E3" t="s">
        <v>25</v>
      </c>
      <c r="F3" t="s">
        <v>26</v>
      </c>
      <c r="G3" t="s">
        <v>27</v>
      </c>
      <c r="H3">
        <v>2</v>
      </c>
      <c r="I3">
        <v>1200</v>
      </c>
      <c r="J3">
        <v>0</v>
      </c>
      <c r="K3">
        <v>2400</v>
      </c>
      <c r="L3">
        <v>461.4</v>
      </c>
      <c r="M3" t="s">
        <v>28</v>
      </c>
      <c r="N3" t="s">
        <v>21</v>
      </c>
    </row>
    <row r="4" spans="1:14" x14ac:dyDescent="0.3">
      <c r="A4" t="s">
        <v>29</v>
      </c>
      <c r="B4" s="2">
        <v>45661</v>
      </c>
      <c r="C4" t="s">
        <v>30</v>
      </c>
      <c r="D4" t="s">
        <v>31</v>
      </c>
      <c r="E4" t="s">
        <v>32</v>
      </c>
      <c r="F4" t="s">
        <v>33</v>
      </c>
      <c r="G4" t="s">
        <v>27</v>
      </c>
      <c r="H4">
        <v>6</v>
      </c>
      <c r="I4">
        <v>1800</v>
      </c>
      <c r="J4">
        <v>0.15</v>
      </c>
      <c r="K4">
        <v>9180</v>
      </c>
      <c r="L4">
        <v>1359.1</v>
      </c>
      <c r="M4" t="s">
        <v>20</v>
      </c>
      <c r="N4" t="s">
        <v>21</v>
      </c>
    </row>
    <row r="5" spans="1:14" x14ac:dyDescent="0.3">
      <c r="A5" t="s">
        <v>34</v>
      </c>
      <c r="B5" s="2">
        <v>45707</v>
      </c>
      <c r="C5" t="s">
        <v>35</v>
      </c>
      <c r="D5" t="s">
        <v>16</v>
      </c>
      <c r="E5" t="s">
        <v>17</v>
      </c>
      <c r="F5" t="s">
        <v>36</v>
      </c>
      <c r="G5" t="s">
        <v>19</v>
      </c>
      <c r="H5">
        <v>3</v>
      </c>
      <c r="I5">
        <v>12500</v>
      </c>
      <c r="J5">
        <v>0.1</v>
      </c>
      <c r="K5">
        <v>33750</v>
      </c>
      <c r="L5">
        <v>8148.12</v>
      </c>
      <c r="M5" t="s">
        <v>20</v>
      </c>
      <c r="N5" t="s">
        <v>37</v>
      </c>
    </row>
    <row r="6" spans="1:14" x14ac:dyDescent="0.3">
      <c r="A6" t="s">
        <v>38</v>
      </c>
      <c r="B6" s="2">
        <v>45808</v>
      </c>
      <c r="C6" t="s">
        <v>39</v>
      </c>
      <c r="D6" t="s">
        <v>24</v>
      </c>
      <c r="E6" t="s">
        <v>40</v>
      </c>
      <c r="F6" t="s">
        <v>41</v>
      </c>
      <c r="G6" t="s">
        <v>42</v>
      </c>
      <c r="H6">
        <v>5</v>
      </c>
      <c r="I6">
        <v>6500</v>
      </c>
      <c r="J6">
        <v>0.1</v>
      </c>
      <c r="K6">
        <v>29250</v>
      </c>
      <c r="L6">
        <v>5717.51</v>
      </c>
      <c r="M6" t="s">
        <v>20</v>
      </c>
      <c r="N6" t="s">
        <v>21</v>
      </c>
    </row>
    <row r="7" spans="1:14" x14ac:dyDescent="0.3">
      <c r="A7" t="s">
        <v>43</v>
      </c>
      <c r="B7" s="2">
        <v>45709</v>
      </c>
      <c r="C7" t="s">
        <v>44</v>
      </c>
      <c r="D7" t="s">
        <v>31</v>
      </c>
      <c r="E7" t="s">
        <v>45</v>
      </c>
      <c r="F7" t="s">
        <v>46</v>
      </c>
      <c r="G7" t="s">
        <v>47</v>
      </c>
      <c r="H7">
        <v>3</v>
      </c>
      <c r="I7">
        <v>8500</v>
      </c>
      <c r="J7">
        <v>0.15</v>
      </c>
      <c r="K7">
        <v>21675</v>
      </c>
      <c r="L7">
        <v>4489.6899999999996</v>
      </c>
      <c r="M7" t="s">
        <v>48</v>
      </c>
      <c r="N7" t="s">
        <v>49</v>
      </c>
    </row>
    <row r="8" spans="1:14" x14ac:dyDescent="0.3">
      <c r="A8" t="s">
        <v>50</v>
      </c>
      <c r="B8" s="2">
        <v>45794</v>
      </c>
      <c r="C8" t="s">
        <v>51</v>
      </c>
      <c r="D8" t="s">
        <v>24</v>
      </c>
      <c r="E8" t="s">
        <v>52</v>
      </c>
      <c r="F8" t="s">
        <v>53</v>
      </c>
      <c r="G8" t="s">
        <v>42</v>
      </c>
      <c r="H8">
        <v>6</v>
      </c>
      <c r="I8">
        <v>7500</v>
      </c>
      <c r="J8">
        <v>0</v>
      </c>
      <c r="K8">
        <v>45000</v>
      </c>
      <c r="L8">
        <v>9082.18</v>
      </c>
      <c r="M8" t="s">
        <v>54</v>
      </c>
      <c r="N8" t="s">
        <v>21</v>
      </c>
    </row>
    <row r="9" spans="1:14" x14ac:dyDescent="0.3">
      <c r="A9" t="s">
        <v>55</v>
      </c>
      <c r="B9" s="2">
        <v>45796</v>
      </c>
      <c r="C9" t="s">
        <v>56</v>
      </c>
      <c r="D9" t="s">
        <v>16</v>
      </c>
      <c r="E9" t="s">
        <v>45</v>
      </c>
      <c r="F9" t="s">
        <v>41</v>
      </c>
      <c r="G9" t="s">
        <v>42</v>
      </c>
      <c r="H9">
        <v>6</v>
      </c>
      <c r="I9">
        <v>6500</v>
      </c>
      <c r="J9">
        <v>0.05</v>
      </c>
      <c r="K9">
        <v>37050</v>
      </c>
      <c r="L9">
        <v>8036.99</v>
      </c>
      <c r="M9" t="s">
        <v>54</v>
      </c>
      <c r="N9" t="s">
        <v>21</v>
      </c>
    </row>
    <row r="10" spans="1:14" x14ac:dyDescent="0.3">
      <c r="A10" t="s">
        <v>57</v>
      </c>
      <c r="B10" s="2">
        <v>45691</v>
      </c>
      <c r="C10" t="s">
        <v>58</v>
      </c>
      <c r="D10" t="s">
        <v>59</v>
      </c>
      <c r="E10" t="s">
        <v>52</v>
      </c>
      <c r="F10" t="s">
        <v>26</v>
      </c>
      <c r="G10" t="s">
        <v>27</v>
      </c>
      <c r="H10">
        <v>5</v>
      </c>
      <c r="I10">
        <v>1200</v>
      </c>
      <c r="J10">
        <v>0.1</v>
      </c>
      <c r="K10">
        <v>5400</v>
      </c>
      <c r="L10">
        <v>661.64</v>
      </c>
      <c r="M10" t="s">
        <v>60</v>
      </c>
      <c r="N10" t="s">
        <v>21</v>
      </c>
    </row>
    <row r="11" spans="1:14" x14ac:dyDescent="0.3">
      <c r="A11" t="s">
        <v>61</v>
      </c>
      <c r="B11" s="2">
        <v>45784</v>
      </c>
      <c r="C11" t="s">
        <v>62</v>
      </c>
      <c r="D11" t="s">
        <v>59</v>
      </c>
      <c r="E11" t="s">
        <v>45</v>
      </c>
      <c r="F11" t="s">
        <v>53</v>
      </c>
      <c r="G11" t="s">
        <v>42</v>
      </c>
      <c r="H11">
        <v>5</v>
      </c>
      <c r="I11">
        <v>7500</v>
      </c>
      <c r="J11">
        <v>0.1</v>
      </c>
      <c r="K11">
        <v>33750</v>
      </c>
      <c r="L11">
        <v>7742.34</v>
      </c>
      <c r="M11" t="s">
        <v>48</v>
      </c>
      <c r="N11" t="s">
        <v>21</v>
      </c>
    </row>
    <row r="12" spans="1:14" x14ac:dyDescent="0.3">
      <c r="A12" t="s">
        <v>63</v>
      </c>
      <c r="B12" s="2">
        <v>45918</v>
      </c>
      <c r="C12" t="s">
        <v>64</v>
      </c>
      <c r="D12" t="s">
        <v>59</v>
      </c>
      <c r="E12" t="s">
        <v>32</v>
      </c>
      <c r="F12" t="s">
        <v>65</v>
      </c>
      <c r="G12" t="s">
        <v>47</v>
      </c>
      <c r="H12">
        <v>1</v>
      </c>
      <c r="I12">
        <v>14500</v>
      </c>
      <c r="J12">
        <v>0</v>
      </c>
      <c r="K12">
        <v>14500</v>
      </c>
      <c r="L12">
        <v>3657.2</v>
      </c>
      <c r="M12" t="s">
        <v>54</v>
      </c>
      <c r="N12" t="s">
        <v>21</v>
      </c>
    </row>
    <row r="13" spans="1:14" x14ac:dyDescent="0.3">
      <c r="A13" t="s">
        <v>66</v>
      </c>
      <c r="B13" s="2">
        <v>45963</v>
      </c>
      <c r="C13" t="s">
        <v>67</v>
      </c>
      <c r="D13" t="s">
        <v>31</v>
      </c>
      <c r="E13" t="s">
        <v>45</v>
      </c>
      <c r="F13" t="s">
        <v>65</v>
      </c>
      <c r="G13" t="s">
        <v>47</v>
      </c>
      <c r="H13">
        <v>5</v>
      </c>
      <c r="I13">
        <v>14500</v>
      </c>
      <c r="J13">
        <v>0.1</v>
      </c>
      <c r="K13">
        <v>65250</v>
      </c>
      <c r="L13">
        <v>17892.57</v>
      </c>
      <c r="M13" t="s">
        <v>20</v>
      </c>
      <c r="N13" t="s">
        <v>21</v>
      </c>
    </row>
    <row r="14" spans="1:14" x14ac:dyDescent="0.3">
      <c r="A14" t="s">
        <v>68</v>
      </c>
      <c r="B14" s="2">
        <v>45880</v>
      </c>
      <c r="C14" t="s">
        <v>69</v>
      </c>
      <c r="D14" t="s">
        <v>24</v>
      </c>
      <c r="E14" t="s">
        <v>32</v>
      </c>
      <c r="F14" t="s">
        <v>33</v>
      </c>
      <c r="G14" t="s">
        <v>27</v>
      </c>
      <c r="H14">
        <v>4</v>
      </c>
      <c r="I14">
        <v>1800</v>
      </c>
      <c r="J14">
        <v>0</v>
      </c>
      <c r="K14">
        <v>7200</v>
      </c>
      <c r="L14">
        <v>1949.49</v>
      </c>
      <c r="M14" t="s">
        <v>60</v>
      </c>
      <c r="N14" t="s">
        <v>49</v>
      </c>
    </row>
    <row r="15" spans="1:14" x14ac:dyDescent="0.3">
      <c r="A15" t="s">
        <v>70</v>
      </c>
      <c r="B15" s="2">
        <v>45917</v>
      </c>
      <c r="C15" t="s">
        <v>51</v>
      </c>
      <c r="D15" t="s">
        <v>16</v>
      </c>
      <c r="E15" t="s">
        <v>45</v>
      </c>
      <c r="F15" t="s">
        <v>71</v>
      </c>
      <c r="G15" t="s">
        <v>19</v>
      </c>
      <c r="H15">
        <v>2</v>
      </c>
      <c r="I15">
        <v>4500</v>
      </c>
      <c r="J15">
        <v>0.05</v>
      </c>
      <c r="K15">
        <v>8550</v>
      </c>
      <c r="L15">
        <v>1323.39</v>
      </c>
      <c r="M15" t="s">
        <v>54</v>
      </c>
      <c r="N15" t="s">
        <v>21</v>
      </c>
    </row>
    <row r="16" spans="1:14" x14ac:dyDescent="0.3">
      <c r="A16" t="s">
        <v>72</v>
      </c>
      <c r="B16" s="2">
        <v>45715</v>
      </c>
      <c r="C16" t="s">
        <v>73</v>
      </c>
      <c r="D16" t="s">
        <v>16</v>
      </c>
      <c r="E16" t="s">
        <v>25</v>
      </c>
      <c r="F16" t="s">
        <v>36</v>
      </c>
      <c r="G16" t="s">
        <v>19</v>
      </c>
      <c r="H16">
        <v>3</v>
      </c>
      <c r="I16">
        <v>12500</v>
      </c>
      <c r="J16">
        <v>0.05</v>
      </c>
      <c r="K16">
        <v>35625</v>
      </c>
      <c r="L16">
        <v>3262.72</v>
      </c>
      <c r="M16" t="s">
        <v>20</v>
      </c>
      <c r="N16" t="s">
        <v>37</v>
      </c>
    </row>
    <row r="17" spans="1:14" x14ac:dyDescent="0.3">
      <c r="A17" t="s">
        <v>74</v>
      </c>
      <c r="B17" s="2">
        <v>45722</v>
      </c>
      <c r="C17" t="s">
        <v>75</v>
      </c>
      <c r="D17" t="s">
        <v>59</v>
      </c>
      <c r="E17" t="s">
        <v>76</v>
      </c>
      <c r="F17" t="s">
        <v>33</v>
      </c>
      <c r="G17" t="s">
        <v>27</v>
      </c>
      <c r="H17">
        <v>6</v>
      </c>
      <c r="I17">
        <v>1800</v>
      </c>
      <c r="J17">
        <v>0.15</v>
      </c>
      <c r="K17">
        <v>9180</v>
      </c>
      <c r="L17">
        <v>2472.81</v>
      </c>
      <c r="M17" t="s">
        <v>28</v>
      </c>
      <c r="N17" t="s">
        <v>49</v>
      </c>
    </row>
    <row r="18" spans="1:14" x14ac:dyDescent="0.3">
      <c r="A18" t="s">
        <v>77</v>
      </c>
      <c r="B18" s="2">
        <v>46011</v>
      </c>
      <c r="C18" t="s">
        <v>78</v>
      </c>
      <c r="D18" t="s">
        <v>59</v>
      </c>
      <c r="E18" t="s">
        <v>32</v>
      </c>
      <c r="F18" t="s">
        <v>26</v>
      </c>
      <c r="G18" t="s">
        <v>27</v>
      </c>
      <c r="H18">
        <v>6</v>
      </c>
      <c r="I18">
        <v>1200</v>
      </c>
      <c r="J18">
        <v>0.1</v>
      </c>
      <c r="K18">
        <v>6480</v>
      </c>
      <c r="L18">
        <v>1035.49</v>
      </c>
      <c r="M18" t="s">
        <v>48</v>
      </c>
      <c r="N18" t="s">
        <v>21</v>
      </c>
    </row>
    <row r="19" spans="1:14" x14ac:dyDescent="0.3">
      <c r="A19" t="s">
        <v>79</v>
      </c>
      <c r="B19" s="2">
        <v>45690</v>
      </c>
      <c r="C19" t="s">
        <v>67</v>
      </c>
      <c r="D19" t="s">
        <v>16</v>
      </c>
      <c r="E19" t="s">
        <v>76</v>
      </c>
      <c r="F19" t="s">
        <v>36</v>
      </c>
      <c r="G19" t="s">
        <v>19</v>
      </c>
      <c r="H19">
        <v>1</v>
      </c>
      <c r="I19">
        <v>12500</v>
      </c>
      <c r="J19">
        <v>0.05</v>
      </c>
      <c r="K19">
        <v>11875</v>
      </c>
      <c r="L19">
        <v>2347.5500000000002</v>
      </c>
      <c r="M19" t="s">
        <v>20</v>
      </c>
      <c r="N19" t="s">
        <v>21</v>
      </c>
    </row>
    <row r="20" spans="1:14" x14ac:dyDescent="0.3">
      <c r="A20" t="s">
        <v>80</v>
      </c>
      <c r="B20" s="2">
        <v>45827</v>
      </c>
      <c r="C20" t="s">
        <v>81</v>
      </c>
      <c r="D20" t="s">
        <v>24</v>
      </c>
      <c r="E20" t="s">
        <v>25</v>
      </c>
      <c r="F20" t="s">
        <v>18</v>
      </c>
      <c r="G20" t="s">
        <v>19</v>
      </c>
      <c r="H20">
        <v>5</v>
      </c>
      <c r="I20">
        <v>15000</v>
      </c>
      <c r="J20">
        <v>0.05</v>
      </c>
      <c r="K20">
        <v>71250</v>
      </c>
      <c r="L20">
        <v>9668.2999999999993</v>
      </c>
      <c r="M20" t="s">
        <v>48</v>
      </c>
      <c r="N20" t="s">
        <v>21</v>
      </c>
    </row>
    <row r="21" spans="1:14" x14ac:dyDescent="0.3">
      <c r="A21" t="s">
        <v>82</v>
      </c>
      <c r="B21" s="2">
        <v>45866</v>
      </c>
      <c r="C21" t="s">
        <v>83</v>
      </c>
      <c r="D21" t="s">
        <v>59</v>
      </c>
      <c r="E21" t="s">
        <v>25</v>
      </c>
      <c r="F21" t="s">
        <v>26</v>
      </c>
      <c r="G21" t="s">
        <v>27</v>
      </c>
      <c r="H21">
        <v>1</v>
      </c>
      <c r="I21">
        <v>1200</v>
      </c>
      <c r="J21">
        <v>0</v>
      </c>
      <c r="K21">
        <v>1200</v>
      </c>
      <c r="L21">
        <v>254.16</v>
      </c>
      <c r="M21" t="s">
        <v>20</v>
      </c>
      <c r="N21" t="s">
        <v>49</v>
      </c>
    </row>
    <row r="22" spans="1:14" x14ac:dyDescent="0.3">
      <c r="A22" t="s">
        <v>84</v>
      </c>
      <c r="B22" s="2">
        <v>45992</v>
      </c>
      <c r="C22" t="s">
        <v>85</v>
      </c>
      <c r="D22" t="s">
        <v>24</v>
      </c>
      <c r="E22" t="s">
        <v>76</v>
      </c>
      <c r="F22" t="s">
        <v>41</v>
      </c>
      <c r="G22" t="s">
        <v>42</v>
      </c>
      <c r="H22">
        <v>1</v>
      </c>
      <c r="I22">
        <v>6500</v>
      </c>
      <c r="J22">
        <v>0</v>
      </c>
      <c r="K22">
        <v>6500</v>
      </c>
      <c r="L22">
        <v>1043.4100000000001</v>
      </c>
      <c r="M22" t="s">
        <v>48</v>
      </c>
      <c r="N22" t="s">
        <v>37</v>
      </c>
    </row>
    <row r="23" spans="1:14" x14ac:dyDescent="0.3">
      <c r="A23" t="s">
        <v>86</v>
      </c>
      <c r="B23" s="2">
        <v>45887</v>
      </c>
      <c r="C23" t="s">
        <v>87</v>
      </c>
      <c r="D23" t="s">
        <v>59</v>
      </c>
      <c r="E23" t="s">
        <v>32</v>
      </c>
      <c r="F23" t="s">
        <v>33</v>
      </c>
      <c r="G23" t="s">
        <v>27</v>
      </c>
      <c r="H23">
        <v>4</v>
      </c>
      <c r="I23">
        <v>1800</v>
      </c>
      <c r="J23">
        <v>0.05</v>
      </c>
      <c r="K23">
        <v>6840</v>
      </c>
      <c r="L23">
        <v>928.25</v>
      </c>
      <c r="M23" t="s">
        <v>20</v>
      </c>
      <c r="N23" t="s">
        <v>49</v>
      </c>
    </row>
    <row r="24" spans="1:14" x14ac:dyDescent="0.3">
      <c r="A24" t="s">
        <v>88</v>
      </c>
      <c r="B24" s="2">
        <v>45934</v>
      </c>
      <c r="C24" t="s">
        <v>89</v>
      </c>
      <c r="D24" t="s">
        <v>24</v>
      </c>
      <c r="E24" t="s">
        <v>17</v>
      </c>
      <c r="F24" t="s">
        <v>90</v>
      </c>
      <c r="G24" t="s">
        <v>19</v>
      </c>
      <c r="H24">
        <v>1</v>
      </c>
      <c r="I24">
        <v>55000</v>
      </c>
      <c r="J24">
        <v>0.05</v>
      </c>
      <c r="K24">
        <v>52250</v>
      </c>
      <c r="L24">
        <v>5917.95</v>
      </c>
      <c r="M24" t="s">
        <v>20</v>
      </c>
      <c r="N24" t="s">
        <v>21</v>
      </c>
    </row>
    <row r="25" spans="1:14" x14ac:dyDescent="0.3">
      <c r="A25" t="s">
        <v>91</v>
      </c>
      <c r="B25" s="2">
        <v>45852</v>
      </c>
      <c r="C25" t="s">
        <v>92</v>
      </c>
      <c r="D25" t="s">
        <v>59</v>
      </c>
      <c r="E25" t="s">
        <v>25</v>
      </c>
      <c r="F25" t="s">
        <v>90</v>
      </c>
      <c r="G25" t="s">
        <v>19</v>
      </c>
      <c r="H25">
        <v>4</v>
      </c>
      <c r="I25">
        <v>55000</v>
      </c>
      <c r="J25">
        <v>0.1</v>
      </c>
      <c r="K25">
        <v>198000</v>
      </c>
      <c r="L25">
        <v>52530.12</v>
      </c>
      <c r="M25" t="s">
        <v>48</v>
      </c>
      <c r="N25" t="s">
        <v>21</v>
      </c>
    </row>
    <row r="26" spans="1:14" x14ac:dyDescent="0.3">
      <c r="A26" t="s">
        <v>93</v>
      </c>
      <c r="B26" s="2">
        <v>45809</v>
      </c>
      <c r="C26" t="s">
        <v>94</v>
      </c>
      <c r="D26" t="s">
        <v>59</v>
      </c>
      <c r="E26" t="s">
        <v>52</v>
      </c>
      <c r="F26" t="s">
        <v>26</v>
      </c>
      <c r="G26" t="s">
        <v>27</v>
      </c>
      <c r="H26">
        <v>1</v>
      </c>
      <c r="I26">
        <v>1200</v>
      </c>
      <c r="J26">
        <v>0</v>
      </c>
      <c r="K26">
        <v>1200</v>
      </c>
      <c r="L26">
        <v>275.51</v>
      </c>
      <c r="M26" t="s">
        <v>20</v>
      </c>
      <c r="N26" t="s">
        <v>37</v>
      </c>
    </row>
    <row r="27" spans="1:14" x14ac:dyDescent="0.3">
      <c r="A27" t="s">
        <v>95</v>
      </c>
      <c r="B27" s="2">
        <v>45699</v>
      </c>
      <c r="C27" t="s">
        <v>96</v>
      </c>
      <c r="D27" t="s">
        <v>16</v>
      </c>
      <c r="E27" t="s">
        <v>76</v>
      </c>
      <c r="F27" t="s">
        <v>33</v>
      </c>
      <c r="G27" t="s">
        <v>27</v>
      </c>
      <c r="H27">
        <v>1</v>
      </c>
      <c r="I27">
        <v>1800</v>
      </c>
      <c r="J27">
        <v>0</v>
      </c>
      <c r="K27">
        <v>1800</v>
      </c>
      <c r="L27">
        <v>387.08</v>
      </c>
      <c r="M27" t="s">
        <v>28</v>
      </c>
      <c r="N27" t="s">
        <v>37</v>
      </c>
    </row>
    <row r="28" spans="1:14" x14ac:dyDescent="0.3">
      <c r="A28" t="s">
        <v>97</v>
      </c>
      <c r="B28" s="2">
        <v>45678</v>
      </c>
      <c r="C28" t="s">
        <v>98</v>
      </c>
      <c r="D28" t="s">
        <v>31</v>
      </c>
      <c r="E28" t="s">
        <v>40</v>
      </c>
      <c r="F28" t="s">
        <v>71</v>
      </c>
      <c r="G28" t="s">
        <v>19</v>
      </c>
      <c r="H28">
        <v>1</v>
      </c>
      <c r="I28">
        <v>4500</v>
      </c>
      <c r="J28">
        <v>0.15</v>
      </c>
      <c r="K28">
        <v>3825</v>
      </c>
      <c r="L28">
        <v>808.89</v>
      </c>
      <c r="M28" t="s">
        <v>48</v>
      </c>
      <c r="N28" t="s">
        <v>49</v>
      </c>
    </row>
    <row r="29" spans="1:14" x14ac:dyDescent="0.3">
      <c r="A29" t="s">
        <v>99</v>
      </c>
      <c r="B29" s="2">
        <v>45818</v>
      </c>
      <c r="C29" t="s">
        <v>100</v>
      </c>
      <c r="D29" t="s">
        <v>31</v>
      </c>
      <c r="E29" t="s">
        <v>32</v>
      </c>
      <c r="F29" t="s">
        <v>26</v>
      </c>
      <c r="G29" t="s">
        <v>27</v>
      </c>
      <c r="H29">
        <v>3</v>
      </c>
      <c r="I29">
        <v>1200</v>
      </c>
      <c r="J29">
        <v>0.15</v>
      </c>
      <c r="K29">
        <v>3060</v>
      </c>
      <c r="L29">
        <v>324.89999999999998</v>
      </c>
      <c r="M29" t="s">
        <v>20</v>
      </c>
      <c r="N29" t="s">
        <v>21</v>
      </c>
    </row>
    <row r="30" spans="1:14" x14ac:dyDescent="0.3">
      <c r="A30" t="s">
        <v>101</v>
      </c>
      <c r="B30" s="2">
        <v>45976</v>
      </c>
      <c r="C30" t="s">
        <v>102</v>
      </c>
      <c r="D30" t="s">
        <v>24</v>
      </c>
      <c r="E30" t="s">
        <v>45</v>
      </c>
      <c r="F30" t="s">
        <v>71</v>
      </c>
      <c r="G30" t="s">
        <v>19</v>
      </c>
      <c r="H30">
        <v>1</v>
      </c>
      <c r="I30">
        <v>4500</v>
      </c>
      <c r="J30">
        <v>0</v>
      </c>
      <c r="K30">
        <v>4500</v>
      </c>
      <c r="L30">
        <v>843.87</v>
      </c>
      <c r="M30" t="s">
        <v>20</v>
      </c>
      <c r="N30" t="s">
        <v>21</v>
      </c>
    </row>
    <row r="31" spans="1:14" x14ac:dyDescent="0.3">
      <c r="A31" t="s">
        <v>103</v>
      </c>
      <c r="B31" s="2">
        <v>45847</v>
      </c>
      <c r="C31" t="s">
        <v>104</v>
      </c>
      <c r="D31" t="s">
        <v>16</v>
      </c>
      <c r="E31" t="s">
        <v>40</v>
      </c>
      <c r="F31" t="s">
        <v>105</v>
      </c>
      <c r="G31" t="s">
        <v>27</v>
      </c>
      <c r="H31">
        <v>2</v>
      </c>
      <c r="I31">
        <v>3500</v>
      </c>
      <c r="J31">
        <v>0.15</v>
      </c>
      <c r="K31">
        <v>5950</v>
      </c>
      <c r="L31">
        <v>1468.16</v>
      </c>
      <c r="M31" t="s">
        <v>20</v>
      </c>
      <c r="N31" t="s">
        <v>21</v>
      </c>
    </row>
    <row r="32" spans="1:14" x14ac:dyDescent="0.3">
      <c r="A32" t="s">
        <v>106</v>
      </c>
      <c r="B32" s="2">
        <v>45793</v>
      </c>
      <c r="C32" t="s">
        <v>107</v>
      </c>
      <c r="D32" t="s">
        <v>31</v>
      </c>
      <c r="E32" t="s">
        <v>76</v>
      </c>
      <c r="F32" t="s">
        <v>18</v>
      </c>
      <c r="G32" t="s">
        <v>19</v>
      </c>
      <c r="H32">
        <v>1</v>
      </c>
      <c r="I32">
        <v>15000</v>
      </c>
      <c r="J32">
        <v>0.05</v>
      </c>
      <c r="K32">
        <v>14250</v>
      </c>
      <c r="L32">
        <v>1916.19</v>
      </c>
      <c r="M32" t="s">
        <v>60</v>
      </c>
      <c r="N32" t="s">
        <v>37</v>
      </c>
    </row>
    <row r="33" spans="1:14" x14ac:dyDescent="0.3">
      <c r="A33" t="s">
        <v>108</v>
      </c>
      <c r="B33" s="2">
        <v>45908</v>
      </c>
      <c r="C33" t="s">
        <v>109</v>
      </c>
      <c r="D33" t="s">
        <v>16</v>
      </c>
      <c r="E33" t="s">
        <v>45</v>
      </c>
      <c r="F33" t="s">
        <v>105</v>
      </c>
      <c r="G33" t="s">
        <v>27</v>
      </c>
      <c r="H33">
        <v>1</v>
      </c>
      <c r="I33">
        <v>3500</v>
      </c>
      <c r="J33">
        <v>0</v>
      </c>
      <c r="K33">
        <v>3500</v>
      </c>
      <c r="L33">
        <v>724</v>
      </c>
      <c r="M33" t="s">
        <v>48</v>
      </c>
      <c r="N33" t="s">
        <v>49</v>
      </c>
    </row>
    <row r="34" spans="1:14" x14ac:dyDescent="0.3">
      <c r="A34" t="s">
        <v>110</v>
      </c>
      <c r="B34" s="2">
        <v>45792</v>
      </c>
      <c r="C34" t="s">
        <v>111</v>
      </c>
      <c r="D34" t="s">
        <v>16</v>
      </c>
      <c r="E34" t="s">
        <v>32</v>
      </c>
      <c r="F34" t="s">
        <v>33</v>
      </c>
      <c r="G34" t="s">
        <v>27</v>
      </c>
      <c r="H34">
        <v>6</v>
      </c>
      <c r="I34">
        <v>1800</v>
      </c>
      <c r="J34">
        <v>0.15</v>
      </c>
      <c r="K34">
        <v>9180</v>
      </c>
      <c r="L34">
        <v>1747.29</v>
      </c>
      <c r="M34" t="s">
        <v>20</v>
      </c>
      <c r="N34" t="s">
        <v>49</v>
      </c>
    </row>
    <row r="35" spans="1:14" x14ac:dyDescent="0.3">
      <c r="A35" t="s">
        <v>112</v>
      </c>
      <c r="B35" s="2">
        <v>45734</v>
      </c>
      <c r="C35" t="s">
        <v>113</v>
      </c>
      <c r="D35" t="s">
        <v>24</v>
      </c>
      <c r="E35" t="s">
        <v>114</v>
      </c>
      <c r="F35" t="s">
        <v>115</v>
      </c>
      <c r="G35" t="s">
        <v>19</v>
      </c>
      <c r="H35">
        <v>1</v>
      </c>
      <c r="I35">
        <v>28000</v>
      </c>
      <c r="J35">
        <v>0.1</v>
      </c>
      <c r="K35">
        <v>25200</v>
      </c>
      <c r="L35">
        <v>4951.8500000000004</v>
      </c>
      <c r="M35" t="s">
        <v>60</v>
      </c>
      <c r="N35" t="s">
        <v>21</v>
      </c>
    </row>
    <row r="36" spans="1:14" x14ac:dyDescent="0.3">
      <c r="A36" t="s">
        <v>116</v>
      </c>
      <c r="B36" s="2">
        <v>45678</v>
      </c>
      <c r="C36" t="s">
        <v>117</v>
      </c>
      <c r="D36" t="s">
        <v>59</v>
      </c>
      <c r="E36" t="s">
        <v>52</v>
      </c>
      <c r="F36" t="s">
        <v>36</v>
      </c>
      <c r="G36" t="s">
        <v>19</v>
      </c>
      <c r="H36">
        <v>2</v>
      </c>
      <c r="I36">
        <v>12500</v>
      </c>
      <c r="J36">
        <v>0.05</v>
      </c>
      <c r="K36">
        <v>23750</v>
      </c>
      <c r="L36">
        <v>5067.93</v>
      </c>
      <c r="M36" t="s">
        <v>48</v>
      </c>
      <c r="N36" t="s">
        <v>21</v>
      </c>
    </row>
    <row r="37" spans="1:14" x14ac:dyDescent="0.3">
      <c r="A37" t="s">
        <v>118</v>
      </c>
      <c r="B37" s="2">
        <v>45748</v>
      </c>
      <c r="C37" t="s">
        <v>119</v>
      </c>
      <c r="D37" t="s">
        <v>24</v>
      </c>
      <c r="E37" t="s">
        <v>40</v>
      </c>
      <c r="F37" t="s">
        <v>46</v>
      </c>
      <c r="G37" t="s">
        <v>47</v>
      </c>
      <c r="H37">
        <v>1</v>
      </c>
      <c r="I37">
        <v>8500</v>
      </c>
      <c r="J37">
        <v>0.05</v>
      </c>
      <c r="K37">
        <v>8075</v>
      </c>
      <c r="L37">
        <v>1835.55</v>
      </c>
      <c r="M37" t="s">
        <v>48</v>
      </c>
      <c r="N37" t="s">
        <v>49</v>
      </c>
    </row>
    <row r="38" spans="1:14" x14ac:dyDescent="0.3">
      <c r="A38" t="s">
        <v>120</v>
      </c>
      <c r="B38" s="2">
        <v>45713</v>
      </c>
      <c r="C38" t="s">
        <v>121</v>
      </c>
      <c r="D38" t="s">
        <v>31</v>
      </c>
      <c r="E38" t="s">
        <v>76</v>
      </c>
      <c r="F38" t="s">
        <v>46</v>
      </c>
      <c r="G38" t="s">
        <v>47</v>
      </c>
      <c r="H38">
        <v>1</v>
      </c>
      <c r="I38">
        <v>8500</v>
      </c>
      <c r="J38">
        <v>0.15</v>
      </c>
      <c r="K38">
        <v>7225</v>
      </c>
      <c r="L38">
        <v>899.42</v>
      </c>
      <c r="M38" t="s">
        <v>48</v>
      </c>
      <c r="N38" t="s">
        <v>21</v>
      </c>
    </row>
    <row r="39" spans="1:14" x14ac:dyDescent="0.3">
      <c r="A39" t="s">
        <v>122</v>
      </c>
      <c r="B39" s="2">
        <v>45995</v>
      </c>
      <c r="C39" t="s">
        <v>123</v>
      </c>
      <c r="D39" t="s">
        <v>31</v>
      </c>
      <c r="E39" t="s">
        <v>17</v>
      </c>
      <c r="F39" t="s">
        <v>26</v>
      </c>
      <c r="G39" t="s">
        <v>27</v>
      </c>
      <c r="H39">
        <v>4</v>
      </c>
      <c r="I39">
        <v>1200</v>
      </c>
      <c r="J39">
        <v>0.1</v>
      </c>
      <c r="K39">
        <v>4320</v>
      </c>
      <c r="L39">
        <v>586.30999999999995</v>
      </c>
      <c r="M39" t="s">
        <v>28</v>
      </c>
      <c r="N39" t="s">
        <v>21</v>
      </c>
    </row>
    <row r="40" spans="1:14" x14ac:dyDescent="0.3">
      <c r="A40" t="s">
        <v>124</v>
      </c>
      <c r="B40" s="2">
        <v>45672</v>
      </c>
      <c r="C40" t="s">
        <v>109</v>
      </c>
      <c r="D40" t="s">
        <v>16</v>
      </c>
      <c r="E40" t="s">
        <v>17</v>
      </c>
      <c r="F40" t="s">
        <v>18</v>
      </c>
      <c r="G40" t="s">
        <v>19</v>
      </c>
      <c r="H40">
        <v>3</v>
      </c>
      <c r="I40">
        <v>15000</v>
      </c>
      <c r="J40">
        <v>0.05</v>
      </c>
      <c r="K40">
        <v>42750</v>
      </c>
      <c r="L40">
        <v>8384.0400000000009</v>
      </c>
      <c r="M40" t="s">
        <v>60</v>
      </c>
      <c r="N40" t="s">
        <v>49</v>
      </c>
    </row>
    <row r="41" spans="1:14" x14ac:dyDescent="0.3">
      <c r="A41" t="s">
        <v>125</v>
      </c>
      <c r="B41" s="2">
        <v>45818</v>
      </c>
      <c r="C41" t="s">
        <v>126</v>
      </c>
      <c r="D41" t="s">
        <v>31</v>
      </c>
      <c r="E41" t="s">
        <v>114</v>
      </c>
      <c r="F41" t="s">
        <v>46</v>
      </c>
      <c r="G41" t="s">
        <v>47</v>
      </c>
      <c r="H41">
        <v>5</v>
      </c>
      <c r="I41">
        <v>8500</v>
      </c>
      <c r="J41">
        <v>0</v>
      </c>
      <c r="K41">
        <v>42500</v>
      </c>
      <c r="L41">
        <v>6674.16</v>
      </c>
      <c r="M41" t="s">
        <v>54</v>
      </c>
      <c r="N41" t="s">
        <v>21</v>
      </c>
    </row>
    <row r="42" spans="1:14" x14ac:dyDescent="0.3">
      <c r="A42" t="s">
        <v>127</v>
      </c>
      <c r="B42" s="2">
        <v>45924</v>
      </c>
      <c r="C42" t="s">
        <v>128</v>
      </c>
      <c r="D42" t="s">
        <v>31</v>
      </c>
      <c r="E42" t="s">
        <v>32</v>
      </c>
      <c r="F42" t="s">
        <v>115</v>
      </c>
      <c r="G42" t="s">
        <v>19</v>
      </c>
      <c r="H42">
        <v>6</v>
      </c>
      <c r="I42">
        <v>28000</v>
      </c>
      <c r="J42">
        <v>0.05</v>
      </c>
      <c r="K42">
        <v>159600</v>
      </c>
      <c r="L42">
        <v>24393.95</v>
      </c>
      <c r="M42" t="s">
        <v>60</v>
      </c>
      <c r="N42" t="s">
        <v>37</v>
      </c>
    </row>
    <row r="43" spans="1:14" x14ac:dyDescent="0.3">
      <c r="A43" t="s">
        <v>129</v>
      </c>
      <c r="B43" s="2">
        <v>45816</v>
      </c>
      <c r="C43" t="s">
        <v>130</v>
      </c>
      <c r="D43" t="s">
        <v>24</v>
      </c>
      <c r="E43" t="s">
        <v>76</v>
      </c>
      <c r="F43" t="s">
        <v>41</v>
      </c>
      <c r="G43" t="s">
        <v>42</v>
      </c>
      <c r="H43">
        <v>4</v>
      </c>
      <c r="I43">
        <v>6500</v>
      </c>
      <c r="J43">
        <v>0.1</v>
      </c>
      <c r="K43">
        <v>23400</v>
      </c>
      <c r="L43">
        <v>3755.23</v>
      </c>
      <c r="M43" t="s">
        <v>54</v>
      </c>
      <c r="N43" t="s">
        <v>49</v>
      </c>
    </row>
    <row r="44" spans="1:14" x14ac:dyDescent="0.3">
      <c r="A44" t="s">
        <v>131</v>
      </c>
      <c r="B44" s="2">
        <v>45852</v>
      </c>
      <c r="C44" t="s">
        <v>132</v>
      </c>
      <c r="D44" t="s">
        <v>16</v>
      </c>
      <c r="E44" t="s">
        <v>40</v>
      </c>
      <c r="F44" t="s">
        <v>41</v>
      </c>
      <c r="G44" t="s">
        <v>42</v>
      </c>
      <c r="H44">
        <v>6</v>
      </c>
      <c r="I44">
        <v>6500</v>
      </c>
      <c r="J44">
        <v>0.05</v>
      </c>
      <c r="K44">
        <v>37050</v>
      </c>
      <c r="L44">
        <v>7524.97</v>
      </c>
      <c r="M44" t="s">
        <v>60</v>
      </c>
      <c r="N44" t="s">
        <v>21</v>
      </c>
    </row>
    <row r="45" spans="1:14" x14ac:dyDescent="0.3">
      <c r="A45" t="s">
        <v>133</v>
      </c>
      <c r="B45" s="2">
        <v>45878</v>
      </c>
      <c r="C45" t="s">
        <v>134</v>
      </c>
      <c r="D45" t="s">
        <v>59</v>
      </c>
      <c r="E45" t="s">
        <v>52</v>
      </c>
      <c r="F45" t="s">
        <v>71</v>
      </c>
      <c r="G45" t="s">
        <v>19</v>
      </c>
      <c r="H45">
        <v>5</v>
      </c>
      <c r="I45">
        <v>4500</v>
      </c>
      <c r="J45">
        <v>0.1</v>
      </c>
      <c r="K45">
        <v>20250</v>
      </c>
      <c r="L45">
        <v>3503.2</v>
      </c>
      <c r="M45" t="s">
        <v>20</v>
      </c>
      <c r="N45" t="s">
        <v>21</v>
      </c>
    </row>
    <row r="46" spans="1:14" x14ac:dyDescent="0.3">
      <c r="A46" t="s">
        <v>135</v>
      </c>
      <c r="B46" s="2">
        <v>45921</v>
      </c>
      <c r="C46" t="s">
        <v>136</v>
      </c>
      <c r="D46" t="s">
        <v>24</v>
      </c>
      <c r="E46" t="s">
        <v>76</v>
      </c>
      <c r="F46" t="s">
        <v>41</v>
      </c>
      <c r="G46" t="s">
        <v>42</v>
      </c>
      <c r="H46">
        <v>6</v>
      </c>
      <c r="I46">
        <v>6500</v>
      </c>
      <c r="J46">
        <v>0.1</v>
      </c>
      <c r="K46">
        <v>35100</v>
      </c>
      <c r="L46">
        <v>3463.58</v>
      </c>
      <c r="M46" t="s">
        <v>48</v>
      </c>
      <c r="N46" t="s">
        <v>21</v>
      </c>
    </row>
    <row r="47" spans="1:14" x14ac:dyDescent="0.3">
      <c r="A47" t="s">
        <v>137</v>
      </c>
      <c r="B47" s="2">
        <v>45681</v>
      </c>
      <c r="C47" t="s">
        <v>126</v>
      </c>
      <c r="D47" t="s">
        <v>59</v>
      </c>
      <c r="E47" t="s">
        <v>25</v>
      </c>
      <c r="F47" t="s">
        <v>26</v>
      </c>
      <c r="G47" t="s">
        <v>27</v>
      </c>
      <c r="H47">
        <v>4</v>
      </c>
      <c r="I47">
        <v>1200</v>
      </c>
      <c r="J47">
        <v>0</v>
      </c>
      <c r="K47">
        <v>4800</v>
      </c>
      <c r="L47">
        <v>821.2</v>
      </c>
      <c r="M47" t="s">
        <v>54</v>
      </c>
      <c r="N47" t="s">
        <v>21</v>
      </c>
    </row>
    <row r="48" spans="1:14" x14ac:dyDescent="0.3">
      <c r="A48" t="s">
        <v>138</v>
      </c>
      <c r="B48" s="2">
        <v>45733</v>
      </c>
      <c r="C48" t="s">
        <v>139</v>
      </c>
      <c r="D48" t="s">
        <v>24</v>
      </c>
      <c r="E48" t="s">
        <v>52</v>
      </c>
      <c r="F48" t="s">
        <v>41</v>
      </c>
      <c r="G48" t="s">
        <v>42</v>
      </c>
      <c r="H48">
        <v>6</v>
      </c>
      <c r="I48">
        <v>6500</v>
      </c>
      <c r="J48">
        <v>0</v>
      </c>
      <c r="K48">
        <v>39000</v>
      </c>
      <c r="L48">
        <v>10082.75</v>
      </c>
      <c r="M48" t="s">
        <v>28</v>
      </c>
      <c r="N48" t="s">
        <v>21</v>
      </c>
    </row>
    <row r="49" spans="1:14" x14ac:dyDescent="0.3">
      <c r="A49" t="s">
        <v>140</v>
      </c>
      <c r="B49" s="2">
        <v>45683</v>
      </c>
      <c r="C49" t="s">
        <v>35</v>
      </c>
      <c r="D49" t="s">
        <v>31</v>
      </c>
      <c r="E49" t="s">
        <v>25</v>
      </c>
      <c r="F49" t="s">
        <v>115</v>
      </c>
      <c r="G49" t="s">
        <v>19</v>
      </c>
      <c r="H49">
        <v>2</v>
      </c>
      <c r="I49">
        <v>28000</v>
      </c>
      <c r="J49">
        <v>0</v>
      </c>
      <c r="K49">
        <v>56000</v>
      </c>
      <c r="L49">
        <v>9592.3700000000008</v>
      </c>
      <c r="M49" t="s">
        <v>28</v>
      </c>
      <c r="N49" t="s">
        <v>49</v>
      </c>
    </row>
    <row r="50" spans="1:14" x14ac:dyDescent="0.3">
      <c r="A50" t="s">
        <v>141</v>
      </c>
      <c r="B50" s="2">
        <v>45916</v>
      </c>
      <c r="C50" t="s">
        <v>89</v>
      </c>
      <c r="D50" t="s">
        <v>31</v>
      </c>
      <c r="E50" t="s">
        <v>76</v>
      </c>
      <c r="F50" t="s">
        <v>46</v>
      </c>
      <c r="G50" t="s">
        <v>47</v>
      </c>
      <c r="H50">
        <v>5</v>
      </c>
      <c r="I50">
        <v>8500</v>
      </c>
      <c r="J50">
        <v>0.15</v>
      </c>
      <c r="K50">
        <v>36125</v>
      </c>
      <c r="L50">
        <v>9372.33</v>
      </c>
      <c r="M50" t="s">
        <v>60</v>
      </c>
      <c r="N50" t="s">
        <v>37</v>
      </c>
    </row>
    <row r="51" spans="1:14" x14ac:dyDescent="0.3">
      <c r="A51" t="s">
        <v>142</v>
      </c>
      <c r="B51" s="2">
        <v>45906</v>
      </c>
      <c r="C51" t="s">
        <v>143</v>
      </c>
      <c r="D51" t="s">
        <v>31</v>
      </c>
      <c r="E51" t="s">
        <v>45</v>
      </c>
      <c r="F51" t="s">
        <v>41</v>
      </c>
      <c r="G51" t="s">
        <v>42</v>
      </c>
      <c r="H51">
        <v>2</v>
      </c>
      <c r="I51">
        <v>6500</v>
      </c>
      <c r="J51">
        <v>0.1</v>
      </c>
      <c r="K51">
        <v>11700</v>
      </c>
      <c r="L51">
        <v>1965.3</v>
      </c>
      <c r="M51" t="s">
        <v>60</v>
      </c>
      <c r="N51" t="s">
        <v>37</v>
      </c>
    </row>
    <row r="52" spans="1:14" x14ac:dyDescent="0.3">
      <c r="A52" t="s">
        <v>144</v>
      </c>
      <c r="B52" s="2">
        <v>45699</v>
      </c>
      <c r="C52" t="s">
        <v>30</v>
      </c>
      <c r="D52" t="s">
        <v>16</v>
      </c>
      <c r="E52" t="s">
        <v>17</v>
      </c>
      <c r="F52" t="s">
        <v>33</v>
      </c>
      <c r="G52" t="s">
        <v>27</v>
      </c>
      <c r="H52">
        <v>2</v>
      </c>
      <c r="I52">
        <v>1800</v>
      </c>
      <c r="J52">
        <v>0.05</v>
      </c>
      <c r="K52">
        <v>3420</v>
      </c>
      <c r="L52">
        <v>535.6</v>
      </c>
      <c r="M52" t="s">
        <v>54</v>
      </c>
      <c r="N52" t="s">
        <v>21</v>
      </c>
    </row>
    <row r="53" spans="1:14" x14ac:dyDescent="0.3">
      <c r="A53" t="s">
        <v>145</v>
      </c>
      <c r="B53" s="2">
        <v>45935</v>
      </c>
      <c r="C53" t="s">
        <v>146</v>
      </c>
      <c r="D53" t="s">
        <v>16</v>
      </c>
      <c r="E53" t="s">
        <v>17</v>
      </c>
      <c r="F53" t="s">
        <v>65</v>
      </c>
      <c r="G53" t="s">
        <v>47</v>
      </c>
      <c r="H53">
        <v>4</v>
      </c>
      <c r="I53">
        <v>14500</v>
      </c>
      <c r="J53">
        <v>0</v>
      </c>
      <c r="K53">
        <v>58000</v>
      </c>
      <c r="L53">
        <v>7039.28</v>
      </c>
      <c r="M53" t="s">
        <v>54</v>
      </c>
      <c r="N53" t="s">
        <v>21</v>
      </c>
    </row>
    <row r="54" spans="1:14" x14ac:dyDescent="0.3">
      <c r="A54" t="s">
        <v>147</v>
      </c>
      <c r="B54" s="2">
        <v>45838</v>
      </c>
      <c r="C54" t="s">
        <v>148</v>
      </c>
      <c r="D54" t="s">
        <v>24</v>
      </c>
      <c r="E54" t="s">
        <v>25</v>
      </c>
      <c r="F54" t="s">
        <v>105</v>
      </c>
      <c r="G54" t="s">
        <v>27</v>
      </c>
      <c r="H54">
        <v>4</v>
      </c>
      <c r="I54">
        <v>3500</v>
      </c>
      <c r="J54">
        <v>0.15</v>
      </c>
      <c r="K54">
        <v>11900</v>
      </c>
      <c r="L54">
        <v>2232.96</v>
      </c>
      <c r="M54" t="s">
        <v>48</v>
      </c>
      <c r="N54" t="s">
        <v>21</v>
      </c>
    </row>
    <row r="55" spans="1:14" x14ac:dyDescent="0.3">
      <c r="A55" t="s">
        <v>149</v>
      </c>
      <c r="B55" s="2">
        <v>45881</v>
      </c>
      <c r="C55" t="s">
        <v>150</v>
      </c>
      <c r="D55" t="s">
        <v>59</v>
      </c>
      <c r="E55" t="s">
        <v>52</v>
      </c>
      <c r="F55" t="s">
        <v>65</v>
      </c>
      <c r="G55" t="s">
        <v>47</v>
      </c>
      <c r="H55">
        <v>1</v>
      </c>
      <c r="I55">
        <v>14500</v>
      </c>
      <c r="J55">
        <v>0.15</v>
      </c>
      <c r="K55">
        <v>12325</v>
      </c>
      <c r="L55">
        <v>1814.56</v>
      </c>
      <c r="M55" t="s">
        <v>28</v>
      </c>
      <c r="N55" t="s">
        <v>37</v>
      </c>
    </row>
    <row r="56" spans="1:14" x14ac:dyDescent="0.3">
      <c r="A56" t="s">
        <v>151</v>
      </c>
      <c r="B56" s="2">
        <v>45671</v>
      </c>
      <c r="C56" t="s">
        <v>152</v>
      </c>
      <c r="D56" t="s">
        <v>59</v>
      </c>
      <c r="E56" t="s">
        <v>52</v>
      </c>
      <c r="F56" t="s">
        <v>46</v>
      </c>
      <c r="G56" t="s">
        <v>47</v>
      </c>
      <c r="H56">
        <v>5</v>
      </c>
      <c r="I56">
        <v>8500</v>
      </c>
      <c r="J56">
        <v>0</v>
      </c>
      <c r="K56">
        <v>42500</v>
      </c>
      <c r="L56">
        <v>4113.55</v>
      </c>
      <c r="M56" t="s">
        <v>20</v>
      </c>
      <c r="N56" t="s">
        <v>21</v>
      </c>
    </row>
    <row r="57" spans="1:14" x14ac:dyDescent="0.3">
      <c r="A57" t="s">
        <v>153</v>
      </c>
      <c r="B57" s="2">
        <v>45852</v>
      </c>
      <c r="C57" t="s">
        <v>154</v>
      </c>
      <c r="D57" t="s">
        <v>59</v>
      </c>
      <c r="E57" t="s">
        <v>40</v>
      </c>
      <c r="F57" t="s">
        <v>36</v>
      </c>
      <c r="G57" t="s">
        <v>19</v>
      </c>
      <c r="H57">
        <v>2</v>
      </c>
      <c r="I57">
        <v>12500</v>
      </c>
      <c r="J57">
        <v>0.15</v>
      </c>
      <c r="K57">
        <v>21250</v>
      </c>
      <c r="L57">
        <v>3089.09</v>
      </c>
      <c r="M57" t="s">
        <v>20</v>
      </c>
      <c r="N57" t="s">
        <v>21</v>
      </c>
    </row>
    <row r="58" spans="1:14" x14ac:dyDescent="0.3">
      <c r="A58" t="s">
        <v>155</v>
      </c>
      <c r="B58" s="2">
        <v>45667</v>
      </c>
      <c r="C58" t="s">
        <v>156</v>
      </c>
      <c r="D58" t="s">
        <v>16</v>
      </c>
      <c r="E58" t="s">
        <v>114</v>
      </c>
      <c r="F58" t="s">
        <v>53</v>
      </c>
      <c r="G58" t="s">
        <v>42</v>
      </c>
      <c r="H58">
        <v>5</v>
      </c>
      <c r="I58">
        <v>7500</v>
      </c>
      <c r="J58">
        <v>0</v>
      </c>
      <c r="K58">
        <v>37500</v>
      </c>
      <c r="L58">
        <v>10499.31</v>
      </c>
      <c r="M58" t="s">
        <v>20</v>
      </c>
      <c r="N58" t="s">
        <v>21</v>
      </c>
    </row>
    <row r="59" spans="1:14" x14ac:dyDescent="0.3">
      <c r="A59" t="s">
        <v>157</v>
      </c>
      <c r="B59" s="2">
        <v>45760</v>
      </c>
      <c r="C59" t="s">
        <v>158</v>
      </c>
      <c r="D59" t="s">
        <v>24</v>
      </c>
      <c r="E59" t="s">
        <v>25</v>
      </c>
      <c r="F59" t="s">
        <v>90</v>
      </c>
      <c r="G59" t="s">
        <v>19</v>
      </c>
      <c r="H59">
        <v>5</v>
      </c>
      <c r="I59">
        <v>55000</v>
      </c>
      <c r="J59">
        <v>0.05</v>
      </c>
      <c r="K59">
        <v>261250</v>
      </c>
      <c r="L59">
        <v>33363.97</v>
      </c>
      <c r="M59" t="s">
        <v>60</v>
      </c>
      <c r="N59" t="s">
        <v>21</v>
      </c>
    </row>
    <row r="60" spans="1:14" x14ac:dyDescent="0.3">
      <c r="A60" t="s">
        <v>159</v>
      </c>
      <c r="B60" s="2">
        <v>45743</v>
      </c>
      <c r="C60" t="s">
        <v>75</v>
      </c>
      <c r="D60" t="s">
        <v>16</v>
      </c>
      <c r="E60" t="s">
        <v>114</v>
      </c>
      <c r="F60" t="s">
        <v>71</v>
      </c>
      <c r="G60" t="s">
        <v>19</v>
      </c>
      <c r="H60">
        <v>5</v>
      </c>
      <c r="I60">
        <v>4500</v>
      </c>
      <c r="J60">
        <v>0</v>
      </c>
      <c r="K60">
        <v>22500</v>
      </c>
      <c r="L60">
        <v>5300.06</v>
      </c>
      <c r="M60" t="s">
        <v>60</v>
      </c>
      <c r="N60" t="s">
        <v>37</v>
      </c>
    </row>
    <row r="61" spans="1:14" x14ac:dyDescent="0.3">
      <c r="A61" t="s">
        <v>160</v>
      </c>
      <c r="B61" s="2">
        <v>46004</v>
      </c>
      <c r="C61" t="s">
        <v>87</v>
      </c>
      <c r="D61" t="s">
        <v>31</v>
      </c>
      <c r="E61" t="s">
        <v>32</v>
      </c>
      <c r="F61" t="s">
        <v>46</v>
      </c>
      <c r="G61" t="s">
        <v>47</v>
      </c>
      <c r="H61">
        <v>4</v>
      </c>
      <c r="I61">
        <v>8500</v>
      </c>
      <c r="J61">
        <v>0.05</v>
      </c>
      <c r="K61">
        <v>32300</v>
      </c>
      <c r="L61">
        <v>3074.94</v>
      </c>
      <c r="M61" t="s">
        <v>28</v>
      </c>
      <c r="N61" t="s">
        <v>21</v>
      </c>
    </row>
    <row r="62" spans="1:14" x14ac:dyDescent="0.3">
      <c r="A62" t="s">
        <v>161</v>
      </c>
      <c r="B62" s="2">
        <v>45835</v>
      </c>
      <c r="C62" t="s">
        <v>162</v>
      </c>
      <c r="D62" t="s">
        <v>59</v>
      </c>
      <c r="E62" t="s">
        <v>25</v>
      </c>
      <c r="F62" t="s">
        <v>115</v>
      </c>
      <c r="G62" t="s">
        <v>19</v>
      </c>
      <c r="H62">
        <v>4</v>
      </c>
      <c r="I62">
        <v>28000</v>
      </c>
      <c r="J62">
        <v>0.1</v>
      </c>
      <c r="K62">
        <v>100800</v>
      </c>
      <c r="L62">
        <v>9454.17</v>
      </c>
      <c r="M62" t="s">
        <v>20</v>
      </c>
      <c r="N62" t="s">
        <v>21</v>
      </c>
    </row>
    <row r="63" spans="1:14" x14ac:dyDescent="0.3">
      <c r="A63" t="s">
        <v>163</v>
      </c>
      <c r="B63" s="2">
        <v>45843</v>
      </c>
      <c r="C63" t="s">
        <v>102</v>
      </c>
      <c r="D63" t="s">
        <v>59</v>
      </c>
      <c r="E63" t="s">
        <v>25</v>
      </c>
      <c r="F63" t="s">
        <v>41</v>
      </c>
      <c r="G63" t="s">
        <v>42</v>
      </c>
      <c r="H63">
        <v>4</v>
      </c>
      <c r="I63">
        <v>6500</v>
      </c>
      <c r="J63">
        <v>0.05</v>
      </c>
      <c r="K63">
        <v>24700</v>
      </c>
      <c r="L63">
        <v>4127.3100000000004</v>
      </c>
      <c r="M63" t="s">
        <v>54</v>
      </c>
      <c r="N63" t="s">
        <v>49</v>
      </c>
    </row>
    <row r="64" spans="1:14" x14ac:dyDescent="0.3">
      <c r="A64" t="s">
        <v>164</v>
      </c>
      <c r="B64" s="2">
        <v>45961</v>
      </c>
      <c r="C64" t="s">
        <v>123</v>
      </c>
      <c r="D64" t="s">
        <v>59</v>
      </c>
      <c r="E64" t="s">
        <v>76</v>
      </c>
      <c r="F64" t="s">
        <v>105</v>
      </c>
      <c r="G64" t="s">
        <v>27</v>
      </c>
      <c r="H64">
        <v>3</v>
      </c>
      <c r="I64">
        <v>3500</v>
      </c>
      <c r="J64">
        <v>0.05</v>
      </c>
      <c r="K64">
        <v>9975</v>
      </c>
      <c r="L64">
        <v>2455.31</v>
      </c>
      <c r="M64" t="s">
        <v>54</v>
      </c>
      <c r="N64" t="s">
        <v>37</v>
      </c>
    </row>
    <row r="65" spans="1:14" x14ac:dyDescent="0.3">
      <c r="A65" t="s">
        <v>165</v>
      </c>
      <c r="B65" s="2">
        <v>45970</v>
      </c>
      <c r="C65" t="s">
        <v>166</v>
      </c>
      <c r="D65" t="s">
        <v>59</v>
      </c>
      <c r="E65" t="s">
        <v>76</v>
      </c>
      <c r="F65" t="s">
        <v>41</v>
      </c>
      <c r="G65" t="s">
        <v>42</v>
      </c>
      <c r="H65">
        <v>4</v>
      </c>
      <c r="I65">
        <v>6500</v>
      </c>
      <c r="J65">
        <v>0.1</v>
      </c>
      <c r="K65">
        <v>23400</v>
      </c>
      <c r="L65">
        <v>2006.32</v>
      </c>
      <c r="M65" t="s">
        <v>60</v>
      </c>
      <c r="N65" t="s">
        <v>21</v>
      </c>
    </row>
    <row r="66" spans="1:14" x14ac:dyDescent="0.3">
      <c r="A66" t="s">
        <v>167</v>
      </c>
      <c r="B66" s="2">
        <v>45832</v>
      </c>
      <c r="C66" t="s">
        <v>168</v>
      </c>
      <c r="D66" t="s">
        <v>16</v>
      </c>
      <c r="E66" t="s">
        <v>76</v>
      </c>
      <c r="F66" t="s">
        <v>105</v>
      </c>
      <c r="G66" t="s">
        <v>27</v>
      </c>
      <c r="H66">
        <v>5</v>
      </c>
      <c r="I66">
        <v>3500</v>
      </c>
      <c r="J66">
        <v>0.1</v>
      </c>
      <c r="K66">
        <v>15750</v>
      </c>
      <c r="L66">
        <v>3010.74</v>
      </c>
      <c r="M66" t="s">
        <v>54</v>
      </c>
      <c r="N66" t="s">
        <v>21</v>
      </c>
    </row>
    <row r="67" spans="1:14" x14ac:dyDescent="0.3">
      <c r="A67" t="s">
        <v>169</v>
      </c>
      <c r="B67" s="2">
        <v>45942</v>
      </c>
      <c r="C67" t="s">
        <v>89</v>
      </c>
      <c r="D67" t="s">
        <v>16</v>
      </c>
      <c r="E67" t="s">
        <v>32</v>
      </c>
      <c r="F67" t="s">
        <v>26</v>
      </c>
      <c r="G67" t="s">
        <v>27</v>
      </c>
      <c r="H67">
        <v>6</v>
      </c>
      <c r="I67">
        <v>1200</v>
      </c>
      <c r="J67">
        <v>0.15</v>
      </c>
      <c r="K67">
        <v>6120</v>
      </c>
      <c r="L67">
        <v>1280.19</v>
      </c>
      <c r="M67" t="s">
        <v>60</v>
      </c>
      <c r="N67" t="s">
        <v>21</v>
      </c>
    </row>
    <row r="68" spans="1:14" x14ac:dyDescent="0.3">
      <c r="A68" t="s">
        <v>170</v>
      </c>
      <c r="B68" s="2">
        <v>45865</v>
      </c>
      <c r="C68" t="s">
        <v>78</v>
      </c>
      <c r="D68" t="s">
        <v>31</v>
      </c>
      <c r="E68" t="s">
        <v>17</v>
      </c>
      <c r="F68" t="s">
        <v>53</v>
      </c>
      <c r="G68" t="s">
        <v>42</v>
      </c>
      <c r="H68">
        <v>2</v>
      </c>
      <c r="I68">
        <v>7500</v>
      </c>
      <c r="J68">
        <v>0.1</v>
      </c>
      <c r="K68">
        <v>13500</v>
      </c>
      <c r="L68">
        <v>2872.69</v>
      </c>
      <c r="M68" t="s">
        <v>28</v>
      </c>
      <c r="N68" t="s">
        <v>21</v>
      </c>
    </row>
    <row r="69" spans="1:14" x14ac:dyDescent="0.3">
      <c r="A69" t="s">
        <v>171</v>
      </c>
      <c r="B69" s="2">
        <v>45838</v>
      </c>
      <c r="C69" t="s">
        <v>87</v>
      </c>
      <c r="D69" t="s">
        <v>24</v>
      </c>
      <c r="E69" t="s">
        <v>45</v>
      </c>
      <c r="F69" t="s">
        <v>53</v>
      </c>
      <c r="G69" t="s">
        <v>42</v>
      </c>
      <c r="H69">
        <v>4</v>
      </c>
      <c r="I69">
        <v>7500</v>
      </c>
      <c r="J69">
        <v>0.1</v>
      </c>
      <c r="K69">
        <v>27000</v>
      </c>
      <c r="L69">
        <v>3815.76</v>
      </c>
      <c r="M69" t="s">
        <v>20</v>
      </c>
      <c r="N69" t="s">
        <v>49</v>
      </c>
    </row>
    <row r="70" spans="1:14" x14ac:dyDescent="0.3">
      <c r="A70" t="s">
        <v>172</v>
      </c>
      <c r="B70" s="2">
        <v>45932</v>
      </c>
      <c r="C70" t="s">
        <v>173</v>
      </c>
      <c r="D70" t="s">
        <v>31</v>
      </c>
      <c r="E70" t="s">
        <v>32</v>
      </c>
      <c r="F70" t="s">
        <v>53</v>
      </c>
      <c r="G70" t="s">
        <v>42</v>
      </c>
      <c r="H70">
        <v>2</v>
      </c>
      <c r="I70">
        <v>7500</v>
      </c>
      <c r="J70">
        <v>0.05</v>
      </c>
      <c r="K70">
        <v>14250</v>
      </c>
      <c r="L70">
        <v>1756.7</v>
      </c>
      <c r="M70" t="s">
        <v>48</v>
      </c>
      <c r="N70" t="s">
        <v>21</v>
      </c>
    </row>
    <row r="71" spans="1:14" x14ac:dyDescent="0.3">
      <c r="A71" t="s">
        <v>174</v>
      </c>
      <c r="B71" s="2">
        <v>45774</v>
      </c>
      <c r="C71" t="s">
        <v>175</v>
      </c>
      <c r="D71" t="s">
        <v>31</v>
      </c>
      <c r="E71" t="s">
        <v>114</v>
      </c>
      <c r="F71" t="s">
        <v>36</v>
      </c>
      <c r="G71" t="s">
        <v>19</v>
      </c>
      <c r="H71">
        <v>2</v>
      </c>
      <c r="I71">
        <v>12500</v>
      </c>
      <c r="J71">
        <v>0.1</v>
      </c>
      <c r="K71">
        <v>22500</v>
      </c>
      <c r="L71">
        <v>1863.67</v>
      </c>
      <c r="M71" t="s">
        <v>20</v>
      </c>
      <c r="N71" t="s">
        <v>37</v>
      </c>
    </row>
    <row r="72" spans="1:14" x14ac:dyDescent="0.3">
      <c r="A72" t="s">
        <v>176</v>
      </c>
      <c r="B72" s="2">
        <v>45807</v>
      </c>
      <c r="C72" t="s">
        <v>177</v>
      </c>
      <c r="D72" t="s">
        <v>31</v>
      </c>
      <c r="E72" t="s">
        <v>25</v>
      </c>
      <c r="F72" t="s">
        <v>53</v>
      </c>
      <c r="G72" t="s">
        <v>42</v>
      </c>
      <c r="H72">
        <v>2</v>
      </c>
      <c r="I72">
        <v>7500</v>
      </c>
      <c r="J72">
        <v>0.15</v>
      </c>
      <c r="K72">
        <v>12750</v>
      </c>
      <c r="L72">
        <v>1281.5999999999999</v>
      </c>
      <c r="M72" t="s">
        <v>54</v>
      </c>
      <c r="N72" t="s">
        <v>21</v>
      </c>
    </row>
    <row r="73" spans="1:14" x14ac:dyDescent="0.3">
      <c r="A73" t="s">
        <v>178</v>
      </c>
      <c r="B73" s="2">
        <v>45832</v>
      </c>
      <c r="C73" t="s">
        <v>158</v>
      </c>
      <c r="D73" t="s">
        <v>16</v>
      </c>
      <c r="E73" t="s">
        <v>17</v>
      </c>
      <c r="F73" t="s">
        <v>33</v>
      </c>
      <c r="G73" t="s">
        <v>27</v>
      </c>
      <c r="H73">
        <v>1</v>
      </c>
      <c r="I73">
        <v>1800</v>
      </c>
      <c r="J73">
        <v>0.1</v>
      </c>
      <c r="K73">
        <v>1620</v>
      </c>
      <c r="L73">
        <v>434.5</v>
      </c>
      <c r="M73" t="s">
        <v>54</v>
      </c>
      <c r="N73" t="s">
        <v>21</v>
      </c>
    </row>
    <row r="74" spans="1:14" x14ac:dyDescent="0.3">
      <c r="A74" t="s">
        <v>179</v>
      </c>
      <c r="B74" s="2">
        <v>45953</v>
      </c>
      <c r="C74" t="s">
        <v>180</v>
      </c>
      <c r="D74" t="s">
        <v>16</v>
      </c>
      <c r="E74" t="s">
        <v>76</v>
      </c>
      <c r="F74" t="s">
        <v>41</v>
      </c>
      <c r="G74" t="s">
        <v>42</v>
      </c>
      <c r="H74">
        <v>6</v>
      </c>
      <c r="I74">
        <v>6500</v>
      </c>
      <c r="J74">
        <v>0</v>
      </c>
      <c r="K74">
        <v>39000</v>
      </c>
      <c r="L74">
        <v>4303.47</v>
      </c>
      <c r="M74" t="s">
        <v>20</v>
      </c>
      <c r="N74" t="s">
        <v>37</v>
      </c>
    </row>
    <row r="75" spans="1:14" x14ac:dyDescent="0.3">
      <c r="A75" t="s">
        <v>181</v>
      </c>
      <c r="B75" s="2">
        <v>45871</v>
      </c>
      <c r="C75" t="s">
        <v>182</v>
      </c>
      <c r="D75" t="s">
        <v>59</v>
      </c>
      <c r="E75" t="s">
        <v>40</v>
      </c>
      <c r="F75" t="s">
        <v>71</v>
      </c>
      <c r="G75" t="s">
        <v>19</v>
      </c>
      <c r="H75">
        <v>5</v>
      </c>
      <c r="I75">
        <v>4500</v>
      </c>
      <c r="J75">
        <v>0.05</v>
      </c>
      <c r="K75">
        <v>21375</v>
      </c>
      <c r="L75">
        <v>5026.09</v>
      </c>
      <c r="M75" t="s">
        <v>28</v>
      </c>
      <c r="N75" t="s">
        <v>21</v>
      </c>
    </row>
    <row r="76" spans="1:14" x14ac:dyDescent="0.3">
      <c r="A76" t="s">
        <v>183</v>
      </c>
      <c r="B76" s="2">
        <v>45814</v>
      </c>
      <c r="C76" t="s">
        <v>184</v>
      </c>
      <c r="D76" t="s">
        <v>24</v>
      </c>
      <c r="E76" t="s">
        <v>40</v>
      </c>
      <c r="F76" t="s">
        <v>71</v>
      </c>
      <c r="G76" t="s">
        <v>19</v>
      </c>
      <c r="H76">
        <v>5</v>
      </c>
      <c r="I76">
        <v>4500</v>
      </c>
      <c r="J76">
        <v>0</v>
      </c>
      <c r="K76">
        <v>22500</v>
      </c>
      <c r="L76">
        <v>4543.34</v>
      </c>
      <c r="M76" t="s">
        <v>20</v>
      </c>
      <c r="N76" t="s">
        <v>21</v>
      </c>
    </row>
    <row r="77" spans="1:14" x14ac:dyDescent="0.3">
      <c r="A77" t="s">
        <v>185</v>
      </c>
      <c r="B77" s="2">
        <v>45780</v>
      </c>
      <c r="C77" t="s">
        <v>186</v>
      </c>
      <c r="D77" t="s">
        <v>59</v>
      </c>
      <c r="E77" t="s">
        <v>40</v>
      </c>
      <c r="F77" t="s">
        <v>33</v>
      </c>
      <c r="G77" t="s">
        <v>27</v>
      </c>
      <c r="H77">
        <v>5</v>
      </c>
      <c r="I77">
        <v>1800</v>
      </c>
      <c r="J77">
        <v>0</v>
      </c>
      <c r="K77">
        <v>9000</v>
      </c>
      <c r="L77">
        <v>1001.76</v>
      </c>
      <c r="M77" t="s">
        <v>20</v>
      </c>
      <c r="N77" t="s">
        <v>21</v>
      </c>
    </row>
    <row r="78" spans="1:14" x14ac:dyDescent="0.3">
      <c r="A78" t="s">
        <v>187</v>
      </c>
      <c r="B78" s="2">
        <v>45805</v>
      </c>
      <c r="C78" t="s">
        <v>136</v>
      </c>
      <c r="D78" t="s">
        <v>24</v>
      </c>
      <c r="E78" t="s">
        <v>17</v>
      </c>
      <c r="F78" t="s">
        <v>53</v>
      </c>
      <c r="G78" t="s">
        <v>42</v>
      </c>
      <c r="H78">
        <v>3</v>
      </c>
      <c r="I78">
        <v>7500</v>
      </c>
      <c r="J78">
        <v>0.15</v>
      </c>
      <c r="K78">
        <v>19125</v>
      </c>
      <c r="L78">
        <v>1802.26</v>
      </c>
      <c r="M78" t="s">
        <v>20</v>
      </c>
      <c r="N78" t="s">
        <v>37</v>
      </c>
    </row>
    <row r="79" spans="1:14" x14ac:dyDescent="0.3">
      <c r="A79" t="s">
        <v>188</v>
      </c>
      <c r="B79" s="2">
        <v>45773</v>
      </c>
      <c r="C79" t="s">
        <v>39</v>
      </c>
      <c r="D79" t="s">
        <v>24</v>
      </c>
      <c r="E79" t="s">
        <v>40</v>
      </c>
      <c r="F79" t="s">
        <v>41</v>
      </c>
      <c r="G79" t="s">
        <v>42</v>
      </c>
      <c r="H79">
        <v>2</v>
      </c>
      <c r="I79">
        <v>6500</v>
      </c>
      <c r="J79">
        <v>0.1</v>
      </c>
      <c r="K79">
        <v>11700</v>
      </c>
      <c r="L79">
        <v>2870.32</v>
      </c>
      <c r="M79" t="s">
        <v>28</v>
      </c>
      <c r="N79" t="s">
        <v>49</v>
      </c>
    </row>
    <row r="80" spans="1:14" x14ac:dyDescent="0.3">
      <c r="A80" t="s">
        <v>189</v>
      </c>
      <c r="B80" s="2">
        <v>45949</v>
      </c>
      <c r="C80" t="s">
        <v>132</v>
      </c>
      <c r="D80" t="s">
        <v>31</v>
      </c>
      <c r="E80" t="s">
        <v>25</v>
      </c>
      <c r="F80" t="s">
        <v>105</v>
      </c>
      <c r="G80" t="s">
        <v>27</v>
      </c>
      <c r="H80">
        <v>4</v>
      </c>
      <c r="I80">
        <v>3500</v>
      </c>
      <c r="J80">
        <v>0</v>
      </c>
      <c r="K80">
        <v>14000</v>
      </c>
      <c r="L80">
        <v>2432.35</v>
      </c>
      <c r="M80" t="s">
        <v>54</v>
      </c>
      <c r="N80" t="s">
        <v>21</v>
      </c>
    </row>
    <row r="81" spans="1:14" x14ac:dyDescent="0.3">
      <c r="A81" t="s">
        <v>190</v>
      </c>
      <c r="B81" s="2">
        <v>45964</v>
      </c>
      <c r="C81" t="s">
        <v>67</v>
      </c>
      <c r="D81" t="s">
        <v>24</v>
      </c>
      <c r="E81" t="s">
        <v>114</v>
      </c>
      <c r="F81" t="s">
        <v>90</v>
      </c>
      <c r="G81" t="s">
        <v>19</v>
      </c>
      <c r="H81">
        <v>4</v>
      </c>
      <c r="I81">
        <v>55000</v>
      </c>
      <c r="J81">
        <v>0.1</v>
      </c>
      <c r="K81">
        <v>198000</v>
      </c>
      <c r="L81">
        <v>39747.06</v>
      </c>
      <c r="M81" t="s">
        <v>60</v>
      </c>
      <c r="N81" t="s">
        <v>37</v>
      </c>
    </row>
    <row r="82" spans="1:14" x14ac:dyDescent="0.3">
      <c r="A82" t="s">
        <v>191</v>
      </c>
      <c r="B82" s="2">
        <v>45678</v>
      </c>
      <c r="C82" t="s">
        <v>192</v>
      </c>
      <c r="D82" t="s">
        <v>59</v>
      </c>
      <c r="E82" t="s">
        <v>25</v>
      </c>
      <c r="F82" t="s">
        <v>33</v>
      </c>
      <c r="G82" t="s">
        <v>27</v>
      </c>
      <c r="H82">
        <v>4</v>
      </c>
      <c r="I82">
        <v>1800</v>
      </c>
      <c r="J82">
        <v>0.15</v>
      </c>
      <c r="K82">
        <v>6120</v>
      </c>
      <c r="L82">
        <v>1610.87</v>
      </c>
      <c r="M82" t="s">
        <v>20</v>
      </c>
      <c r="N82" t="s">
        <v>21</v>
      </c>
    </row>
    <row r="83" spans="1:14" x14ac:dyDescent="0.3">
      <c r="A83" t="s">
        <v>193</v>
      </c>
      <c r="B83" s="2">
        <v>45836</v>
      </c>
      <c r="C83" t="s">
        <v>194</v>
      </c>
      <c r="D83" t="s">
        <v>59</v>
      </c>
      <c r="E83" t="s">
        <v>25</v>
      </c>
      <c r="F83" t="s">
        <v>46</v>
      </c>
      <c r="G83" t="s">
        <v>47</v>
      </c>
      <c r="H83">
        <v>3</v>
      </c>
      <c r="I83">
        <v>8500</v>
      </c>
      <c r="J83">
        <v>0.1</v>
      </c>
      <c r="K83">
        <v>22950</v>
      </c>
      <c r="L83">
        <v>4911.91</v>
      </c>
      <c r="M83" t="s">
        <v>60</v>
      </c>
      <c r="N83" t="s">
        <v>49</v>
      </c>
    </row>
    <row r="84" spans="1:14" x14ac:dyDescent="0.3">
      <c r="A84" t="s">
        <v>195</v>
      </c>
      <c r="B84" s="2">
        <v>45863</v>
      </c>
      <c r="C84" t="s">
        <v>196</v>
      </c>
      <c r="D84" t="s">
        <v>16</v>
      </c>
      <c r="E84" t="s">
        <v>17</v>
      </c>
      <c r="F84" t="s">
        <v>115</v>
      </c>
      <c r="G84" t="s">
        <v>19</v>
      </c>
      <c r="H84">
        <v>1</v>
      </c>
      <c r="I84">
        <v>28000</v>
      </c>
      <c r="J84">
        <v>0.15</v>
      </c>
      <c r="K84">
        <v>23800</v>
      </c>
      <c r="L84">
        <v>2323.16</v>
      </c>
      <c r="M84" t="s">
        <v>28</v>
      </c>
      <c r="N84" t="s">
        <v>21</v>
      </c>
    </row>
    <row r="85" spans="1:14" x14ac:dyDescent="0.3">
      <c r="A85" t="s">
        <v>197</v>
      </c>
      <c r="B85" s="2">
        <v>45994</v>
      </c>
      <c r="C85" t="s">
        <v>198</v>
      </c>
      <c r="D85" t="s">
        <v>59</v>
      </c>
      <c r="E85" t="s">
        <v>25</v>
      </c>
      <c r="F85" t="s">
        <v>115</v>
      </c>
      <c r="G85" t="s">
        <v>19</v>
      </c>
      <c r="H85">
        <v>4</v>
      </c>
      <c r="I85">
        <v>28000</v>
      </c>
      <c r="J85">
        <v>0.15</v>
      </c>
      <c r="K85">
        <v>95200</v>
      </c>
      <c r="L85">
        <v>8648.0499999999993</v>
      </c>
      <c r="M85" t="s">
        <v>20</v>
      </c>
      <c r="N85" t="s">
        <v>21</v>
      </c>
    </row>
    <row r="86" spans="1:14" x14ac:dyDescent="0.3">
      <c r="A86" t="s">
        <v>199</v>
      </c>
      <c r="B86" s="2">
        <v>45794</v>
      </c>
      <c r="C86" t="s">
        <v>158</v>
      </c>
      <c r="D86" t="s">
        <v>16</v>
      </c>
      <c r="E86" t="s">
        <v>76</v>
      </c>
      <c r="F86" t="s">
        <v>115</v>
      </c>
      <c r="G86" t="s">
        <v>19</v>
      </c>
      <c r="H86">
        <v>2</v>
      </c>
      <c r="I86">
        <v>28000</v>
      </c>
      <c r="J86">
        <v>0.1</v>
      </c>
      <c r="K86">
        <v>50400</v>
      </c>
      <c r="L86">
        <v>8448.2099999999991</v>
      </c>
      <c r="M86" t="s">
        <v>48</v>
      </c>
      <c r="N86" t="s">
        <v>21</v>
      </c>
    </row>
    <row r="87" spans="1:14" x14ac:dyDescent="0.3">
      <c r="A87" t="s">
        <v>200</v>
      </c>
      <c r="B87" s="2">
        <v>45940</v>
      </c>
      <c r="C87" t="s">
        <v>201</v>
      </c>
      <c r="D87" t="s">
        <v>16</v>
      </c>
      <c r="E87" t="s">
        <v>52</v>
      </c>
      <c r="F87" t="s">
        <v>90</v>
      </c>
      <c r="G87" t="s">
        <v>19</v>
      </c>
      <c r="H87">
        <v>5</v>
      </c>
      <c r="I87">
        <v>55000</v>
      </c>
      <c r="J87">
        <v>0.15</v>
      </c>
      <c r="K87">
        <v>233750</v>
      </c>
      <c r="L87">
        <v>23057.53</v>
      </c>
      <c r="M87" t="s">
        <v>54</v>
      </c>
      <c r="N87" t="s">
        <v>49</v>
      </c>
    </row>
    <row r="88" spans="1:14" x14ac:dyDescent="0.3">
      <c r="A88" t="s">
        <v>202</v>
      </c>
      <c r="B88" s="2">
        <v>45807</v>
      </c>
      <c r="C88" t="s">
        <v>89</v>
      </c>
      <c r="D88" t="s">
        <v>24</v>
      </c>
      <c r="E88" t="s">
        <v>25</v>
      </c>
      <c r="F88" t="s">
        <v>115</v>
      </c>
      <c r="G88" t="s">
        <v>19</v>
      </c>
      <c r="H88">
        <v>6</v>
      </c>
      <c r="I88">
        <v>28000</v>
      </c>
      <c r="J88">
        <v>0.1</v>
      </c>
      <c r="K88">
        <v>151200</v>
      </c>
      <c r="L88">
        <v>24660.43</v>
      </c>
      <c r="M88" t="s">
        <v>28</v>
      </c>
      <c r="N88" t="s">
        <v>21</v>
      </c>
    </row>
    <row r="89" spans="1:14" x14ac:dyDescent="0.3">
      <c r="A89" t="s">
        <v>203</v>
      </c>
      <c r="B89" s="2">
        <v>45854</v>
      </c>
      <c r="C89" t="s">
        <v>204</v>
      </c>
      <c r="D89" t="s">
        <v>31</v>
      </c>
      <c r="E89" t="s">
        <v>40</v>
      </c>
      <c r="F89" t="s">
        <v>26</v>
      </c>
      <c r="G89" t="s">
        <v>27</v>
      </c>
      <c r="H89">
        <v>5</v>
      </c>
      <c r="I89">
        <v>1200</v>
      </c>
      <c r="J89">
        <v>0.05</v>
      </c>
      <c r="K89">
        <v>5700</v>
      </c>
      <c r="L89">
        <v>1440.99</v>
      </c>
      <c r="M89" t="s">
        <v>20</v>
      </c>
      <c r="N89" t="s">
        <v>21</v>
      </c>
    </row>
    <row r="90" spans="1:14" x14ac:dyDescent="0.3">
      <c r="A90" t="s">
        <v>205</v>
      </c>
      <c r="B90" s="2">
        <v>45810</v>
      </c>
      <c r="C90" t="s">
        <v>35</v>
      </c>
      <c r="D90" t="s">
        <v>59</v>
      </c>
      <c r="E90" t="s">
        <v>45</v>
      </c>
      <c r="F90" t="s">
        <v>71</v>
      </c>
      <c r="G90" t="s">
        <v>19</v>
      </c>
      <c r="H90">
        <v>5</v>
      </c>
      <c r="I90">
        <v>4500</v>
      </c>
      <c r="J90">
        <v>0.15</v>
      </c>
      <c r="K90">
        <v>19125</v>
      </c>
      <c r="L90">
        <v>4839.62</v>
      </c>
      <c r="M90" t="s">
        <v>60</v>
      </c>
      <c r="N90" t="s">
        <v>37</v>
      </c>
    </row>
    <row r="91" spans="1:14" x14ac:dyDescent="0.3">
      <c r="A91" t="s">
        <v>206</v>
      </c>
      <c r="B91" s="2">
        <v>45936</v>
      </c>
      <c r="C91" t="s">
        <v>207</v>
      </c>
      <c r="D91" t="s">
        <v>59</v>
      </c>
      <c r="E91" t="s">
        <v>76</v>
      </c>
      <c r="F91" t="s">
        <v>46</v>
      </c>
      <c r="G91" t="s">
        <v>47</v>
      </c>
      <c r="H91">
        <v>4</v>
      </c>
      <c r="I91">
        <v>8500</v>
      </c>
      <c r="J91">
        <v>0.1</v>
      </c>
      <c r="K91">
        <v>30600</v>
      </c>
      <c r="L91">
        <v>7769.96</v>
      </c>
      <c r="M91" t="s">
        <v>54</v>
      </c>
      <c r="N91" t="s">
        <v>21</v>
      </c>
    </row>
    <row r="92" spans="1:14" x14ac:dyDescent="0.3">
      <c r="A92" t="s">
        <v>208</v>
      </c>
      <c r="B92" s="2">
        <v>45820</v>
      </c>
      <c r="C92" t="s">
        <v>209</v>
      </c>
      <c r="D92" t="s">
        <v>16</v>
      </c>
      <c r="E92" t="s">
        <v>52</v>
      </c>
      <c r="F92" t="s">
        <v>53</v>
      </c>
      <c r="G92" t="s">
        <v>42</v>
      </c>
      <c r="H92">
        <v>4</v>
      </c>
      <c r="I92">
        <v>7500</v>
      </c>
      <c r="J92">
        <v>0.15</v>
      </c>
      <c r="K92">
        <v>25500</v>
      </c>
      <c r="L92">
        <v>4009</v>
      </c>
      <c r="M92" t="s">
        <v>28</v>
      </c>
      <c r="N92" t="s">
        <v>37</v>
      </c>
    </row>
    <row r="93" spans="1:14" x14ac:dyDescent="0.3">
      <c r="A93" t="s">
        <v>210</v>
      </c>
      <c r="B93" s="2">
        <v>45827</v>
      </c>
      <c r="C93" t="s">
        <v>211</v>
      </c>
      <c r="D93" t="s">
        <v>24</v>
      </c>
      <c r="E93" t="s">
        <v>17</v>
      </c>
      <c r="F93" t="s">
        <v>18</v>
      </c>
      <c r="G93" t="s">
        <v>19</v>
      </c>
      <c r="H93">
        <v>4</v>
      </c>
      <c r="I93">
        <v>15000</v>
      </c>
      <c r="J93">
        <v>0</v>
      </c>
      <c r="K93">
        <v>60000</v>
      </c>
      <c r="L93">
        <v>11111.41</v>
      </c>
      <c r="M93" t="s">
        <v>48</v>
      </c>
      <c r="N93" t="s">
        <v>21</v>
      </c>
    </row>
    <row r="94" spans="1:14" x14ac:dyDescent="0.3">
      <c r="A94" t="s">
        <v>212</v>
      </c>
      <c r="B94" s="2">
        <v>45898</v>
      </c>
      <c r="C94" t="s">
        <v>213</v>
      </c>
      <c r="D94" t="s">
        <v>59</v>
      </c>
      <c r="E94" t="s">
        <v>45</v>
      </c>
      <c r="F94" t="s">
        <v>105</v>
      </c>
      <c r="G94" t="s">
        <v>27</v>
      </c>
      <c r="H94">
        <v>3</v>
      </c>
      <c r="I94">
        <v>3500</v>
      </c>
      <c r="J94">
        <v>0.15</v>
      </c>
      <c r="K94">
        <v>8925</v>
      </c>
      <c r="L94">
        <v>1873.96</v>
      </c>
      <c r="M94" t="s">
        <v>54</v>
      </c>
      <c r="N94" t="s">
        <v>37</v>
      </c>
    </row>
    <row r="95" spans="1:14" x14ac:dyDescent="0.3">
      <c r="A95" t="s">
        <v>214</v>
      </c>
      <c r="B95" s="2">
        <v>45676</v>
      </c>
      <c r="C95" t="s">
        <v>143</v>
      </c>
      <c r="D95" t="s">
        <v>16</v>
      </c>
      <c r="E95" t="s">
        <v>17</v>
      </c>
      <c r="F95" t="s">
        <v>71</v>
      </c>
      <c r="G95" t="s">
        <v>19</v>
      </c>
      <c r="H95">
        <v>1</v>
      </c>
      <c r="I95">
        <v>4500</v>
      </c>
      <c r="J95">
        <v>0.05</v>
      </c>
      <c r="K95">
        <v>4275</v>
      </c>
      <c r="L95">
        <v>881.64</v>
      </c>
      <c r="M95" t="s">
        <v>20</v>
      </c>
      <c r="N95" t="s">
        <v>49</v>
      </c>
    </row>
    <row r="96" spans="1:14" x14ac:dyDescent="0.3">
      <c r="A96" t="s">
        <v>215</v>
      </c>
      <c r="B96" s="2">
        <v>46018</v>
      </c>
      <c r="C96" t="s">
        <v>216</v>
      </c>
      <c r="D96" t="s">
        <v>31</v>
      </c>
      <c r="E96" t="s">
        <v>114</v>
      </c>
      <c r="F96" t="s">
        <v>18</v>
      </c>
      <c r="G96" t="s">
        <v>19</v>
      </c>
      <c r="H96">
        <v>4</v>
      </c>
      <c r="I96">
        <v>15000</v>
      </c>
      <c r="J96">
        <v>0.05</v>
      </c>
      <c r="K96">
        <v>57000</v>
      </c>
      <c r="L96">
        <v>12471.61</v>
      </c>
      <c r="M96" t="s">
        <v>60</v>
      </c>
      <c r="N96" t="s">
        <v>21</v>
      </c>
    </row>
    <row r="97" spans="1:14" x14ac:dyDescent="0.3">
      <c r="A97" t="s">
        <v>217</v>
      </c>
      <c r="B97" s="2">
        <v>45849</v>
      </c>
      <c r="C97" t="s">
        <v>218</v>
      </c>
      <c r="D97" t="s">
        <v>24</v>
      </c>
      <c r="E97" t="s">
        <v>52</v>
      </c>
      <c r="F97" t="s">
        <v>46</v>
      </c>
      <c r="G97" t="s">
        <v>47</v>
      </c>
      <c r="H97">
        <v>2</v>
      </c>
      <c r="I97">
        <v>8500</v>
      </c>
      <c r="J97">
        <v>0.05</v>
      </c>
      <c r="K97">
        <v>16150</v>
      </c>
      <c r="L97">
        <v>3007.67</v>
      </c>
      <c r="M97" t="s">
        <v>20</v>
      </c>
      <c r="N97" t="s">
        <v>37</v>
      </c>
    </row>
    <row r="98" spans="1:14" x14ac:dyDescent="0.3">
      <c r="A98" t="s">
        <v>219</v>
      </c>
      <c r="B98" s="2">
        <v>45853</v>
      </c>
      <c r="C98" t="s">
        <v>218</v>
      </c>
      <c r="D98" t="s">
        <v>24</v>
      </c>
      <c r="E98" t="s">
        <v>25</v>
      </c>
      <c r="F98" t="s">
        <v>71</v>
      </c>
      <c r="G98" t="s">
        <v>19</v>
      </c>
      <c r="H98">
        <v>6</v>
      </c>
      <c r="I98">
        <v>4500</v>
      </c>
      <c r="J98">
        <v>0.05</v>
      </c>
      <c r="K98">
        <v>25650</v>
      </c>
      <c r="L98">
        <v>4605.03</v>
      </c>
      <c r="M98" t="s">
        <v>60</v>
      </c>
      <c r="N98" t="s">
        <v>21</v>
      </c>
    </row>
    <row r="99" spans="1:14" x14ac:dyDescent="0.3">
      <c r="A99" t="s">
        <v>220</v>
      </c>
      <c r="B99" s="2">
        <v>45788</v>
      </c>
      <c r="C99" t="s">
        <v>175</v>
      </c>
      <c r="D99" t="s">
        <v>16</v>
      </c>
      <c r="E99" t="s">
        <v>25</v>
      </c>
      <c r="F99" t="s">
        <v>41</v>
      </c>
      <c r="G99" t="s">
        <v>42</v>
      </c>
      <c r="H99">
        <v>1</v>
      </c>
      <c r="I99">
        <v>6500</v>
      </c>
      <c r="J99">
        <v>0.15</v>
      </c>
      <c r="K99">
        <v>5525</v>
      </c>
      <c r="L99">
        <v>1437.84</v>
      </c>
      <c r="M99" t="s">
        <v>60</v>
      </c>
      <c r="N99" t="s">
        <v>37</v>
      </c>
    </row>
    <row r="100" spans="1:14" x14ac:dyDescent="0.3">
      <c r="A100" t="s">
        <v>221</v>
      </c>
      <c r="B100" s="2">
        <v>45811</v>
      </c>
      <c r="C100" t="s">
        <v>143</v>
      </c>
      <c r="D100" t="s">
        <v>59</v>
      </c>
      <c r="E100" t="s">
        <v>25</v>
      </c>
      <c r="F100" t="s">
        <v>41</v>
      </c>
      <c r="G100" t="s">
        <v>42</v>
      </c>
      <c r="H100">
        <v>4</v>
      </c>
      <c r="I100">
        <v>6500</v>
      </c>
      <c r="J100">
        <v>0.1</v>
      </c>
      <c r="K100">
        <v>23400</v>
      </c>
      <c r="L100">
        <v>4009.99</v>
      </c>
      <c r="M100" t="s">
        <v>20</v>
      </c>
      <c r="N100" t="s">
        <v>21</v>
      </c>
    </row>
    <row r="101" spans="1:14" x14ac:dyDescent="0.3">
      <c r="A101" t="s">
        <v>222</v>
      </c>
      <c r="B101" s="2">
        <v>45853</v>
      </c>
      <c r="C101" t="s">
        <v>223</v>
      </c>
      <c r="D101" t="s">
        <v>59</v>
      </c>
      <c r="E101" t="s">
        <v>40</v>
      </c>
      <c r="F101" t="s">
        <v>71</v>
      </c>
      <c r="G101" t="s">
        <v>19</v>
      </c>
      <c r="H101">
        <v>3</v>
      </c>
      <c r="I101">
        <v>4500</v>
      </c>
      <c r="J101">
        <v>0.1</v>
      </c>
      <c r="K101">
        <v>12150</v>
      </c>
      <c r="L101">
        <v>3384.24</v>
      </c>
      <c r="M101" t="s">
        <v>20</v>
      </c>
      <c r="N101" t="s">
        <v>37</v>
      </c>
    </row>
    <row r="102" spans="1:14" x14ac:dyDescent="0.3">
      <c r="A102" t="s">
        <v>224</v>
      </c>
      <c r="B102" s="2">
        <v>46009</v>
      </c>
      <c r="C102" t="s">
        <v>143</v>
      </c>
      <c r="D102" t="s">
        <v>31</v>
      </c>
      <c r="E102" t="s">
        <v>76</v>
      </c>
      <c r="F102" t="s">
        <v>53</v>
      </c>
      <c r="G102" t="s">
        <v>42</v>
      </c>
      <c r="H102">
        <v>1</v>
      </c>
      <c r="I102">
        <v>7500</v>
      </c>
      <c r="J102">
        <v>0.15</v>
      </c>
      <c r="K102">
        <v>6375</v>
      </c>
      <c r="L102">
        <v>1571.87</v>
      </c>
      <c r="M102" t="s">
        <v>48</v>
      </c>
      <c r="N102" t="s">
        <v>37</v>
      </c>
    </row>
    <row r="103" spans="1:14" x14ac:dyDescent="0.3">
      <c r="A103" t="s">
        <v>225</v>
      </c>
      <c r="B103" s="2">
        <v>45786</v>
      </c>
      <c r="C103" t="s">
        <v>226</v>
      </c>
      <c r="D103" t="s">
        <v>59</v>
      </c>
      <c r="E103" t="s">
        <v>114</v>
      </c>
      <c r="F103" t="s">
        <v>41</v>
      </c>
      <c r="G103" t="s">
        <v>42</v>
      </c>
      <c r="H103">
        <v>6</v>
      </c>
      <c r="I103">
        <v>6500</v>
      </c>
      <c r="J103">
        <v>0.05</v>
      </c>
      <c r="K103">
        <v>37050</v>
      </c>
      <c r="L103">
        <v>7619.32</v>
      </c>
      <c r="M103" t="s">
        <v>28</v>
      </c>
      <c r="N103" t="s">
        <v>21</v>
      </c>
    </row>
    <row r="104" spans="1:14" x14ac:dyDescent="0.3">
      <c r="A104" t="s">
        <v>227</v>
      </c>
      <c r="B104" s="2">
        <v>45725</v>
      </c>
      <c r="C104" t="s">
        <v>228</v>
      </c>
      <c r="D104" t="s">
        <v>24</v>
      </c>
      <c r="E104" t="s">
        <v>45</v>
      </c>
      <c r="F104" t="s">
        <v>18</v>
      </c>
      <c r="G104" t="s">
        <v>19</v>
      </c>
      <c r="H104">
        <v>3</v>
      </c>
      <c r="I104">
        <v>15000</v>
      </c>
      <c r="J104">
        <v>0.1</v>
      </c>
      <c r="K104">
        <v>40500</v>
      </c>
      <c r="L104">
        <v>9294.6</v>
      </c>
      <c r="M104" t="s">
        <v>28</v>
      </c>
      <c r="N104" t="s">
        <v>37</v>
      </c>
    </row>
    <row r="105" spans="1:14" x14ac:dyDescent="0.3">
      <c r="A105" t="s">
        <v>229</v>
      </c>
      <c r="B105" s="2">
        <v>45797</v>
      </c>
      <c r="C105" t="s">
        <v>230</v>
      </c>
      <c r="D105" t="s">
        <v>16</v>
      </c>
      <c r="E105" t="s">
        <v>25</v>
      </c>
      <c r="F105" t="s">
        <v>33</v>
      </c>
      <c r="G105" t="s">
        <v>27</v>
      </c>
      <c r="H105">
        <v>3</v>
      </c>
      <c r="I105">
        <v>1800</v>
      </c>
      <c r="J105">
        <v>0.15</v>
      </c>
      <c r="K105">
        <v>4590</v>
      </c>
      <c r="L105">
        <v>1255.26</v>
      </c>
      <c r="M105" t="s">
        <v>20</v>
      </c>
      <c r="N105" t="s">
        <v>21</v>
      </c>
    </row>
    <row r="106" spans="1:14" x14ac:dyDescent="0.3">
      <c r="A106" t="s">
        <v>231</v>
      </c>
      <c r="B106" s="2">
        <v>45773</v>
      </c>
      <c r="C106" t="s">
        <v>232</v>
      </c>
      <c r="D106" t="s">
        <v>16</v>
      </c>
      <c r="E106" t="s">
        <v>17</v>
      </c>
      <c r="F106" t="s">
        <v>41</v>
      </c>
      <c r="G106" t="s">
        <v>42</v>
      </c>
      <c r="H106">
        <v>6</v>
      </c>
      <c r="I106">
        <v>6500</v>
      </c>
      <c r="J106">
        <v>0.15</v>
      </c>
      <c r="K106">
        <v>33150</v>
      </c>
      <c r="L106">
        <v>9065</v>
      </c>
      <c r="M106" t="s">
        <v>20</v>
      </c>
      <c r="N106" t="s">
        <v>21</v>
      </c>
    </row>
    <row r="107" spans="1:14" x14ac:dyDescent="0.3">
      <c r="A107" t="s">
        <v>233</v>
      </c>
      <c r="B107" s="2">
        <v>45932</v>
      </c>
      <c r="C107" t="s">
        <v>234</v>
      </c>
      <c r="D107" t="s">
        <v>59</v>
      </c>
      <c r="E107" t="s">
        <v>45</v>
      </c>
      <c r="F107" t="s">
        <v>18</v>
      </c>
      <c r="G107" t="s">
        <v>19</v>
      </c>
      <c r="H107">
        <v>4</v>
      </c>
      <c r="I107">
        <v>15000</v>
      </c>
      <c r="J107">
        <v>0.1</v>
      </c>
      <c r="K107">
        <v>54000</v>
      </c>
      <c r="L107">
        <v>11586.55</v>
      </c>
      <c r="M107" t="s">
        <v>20</v>
      </c>
      <c r="N107" t="s">
        <v>49</v>
      </c>
    </row>
    <row r="108" spans="1:14" x14ac:dyDescent="0.3">
      <c r="A108" t="s">
        <v>235</v>
      </c>
      <c r="B108" s="2">
        <v>45777</v>
      </c>
      <c r="C108" t="s">
        <v>87</v>
      </c>
      <c r="D108" t="s">
        <v>59</v>
      </c>
      <c r="E108" t="s">
        <v>40</v>
      </c>
      <c r="F108" t="s">
        <v>65</v>
      </c>
      <c r="G108" t="s">
        <v>47</v>
      </c>
      <c r="H108">
        <v>1</v>
      </c>
      <c r="I108">
        <v>14500</v>
      </c>
      <c r="J108">
        <v>0.1</v>
      </c>
      <c r="K108">
        <v>13050</v>
      </c>
      <c r="L108">
        <v>3432.82</v>
      </c>
      <c r="M108" t="s">
        <v>54</v>
      </c>
      <c r="N108" t="s">
        <v>21</v>
      </c>
    </row>
    <row r="109" spans="1:14" x14ac:dyDescent="0.3">
      <c r="A109" t="s">
        <v>236</v>
      </c>
      <c r="B109" s="2">
        <v>45729</v>
      </c>
      <c r="C109" t="s">
        <v>237</v>
      </c>
      <c r="D109" t="s">
        <v>24</v>
      </c>
      <c r="E109" t="s">
        <v>52</v>
      </c>
      <c r="F109" t="s">
        <v>90</v>
      </c>
      <c r="G109" t="s">
        <v>19</v>
      </c>
      <c r="H109">
        <v>1</v>
      </c>
      <c r="I109">
        <v>55000</v>
      </c>
      <c r="J109">
        <v>0.1</v>
      </c>
      <c r="K109">
        <v>49500</v>
      </c>
      <c r="L109">
        <v>13819.68</v>
      </c>
      <c r="M109" t="s">
        <v>54</v>
      </c>
      <c r="N109" t="s">
        <v>21</v>
      </c>
    </row>
    <row r="110" spans="1:14" x14ac:dyDescent="0.3">
      <c r="A110" t="s">
        <v>238</v>
      </c>
      <c r="B110" s="2">
        <v>45847</v>
      </c>
      <c r="C110" t="s">
        <v>113</v>
      </c>
      <c r="D110" t="s">
        <v>16</v>
      </c>
      <c r="E110" t="s">
        <v>25</v>
      </c>
      <c r="F110" t="s">
        <v>41</v>
      </c>
      <c r="G110" t="s">
        <v>42</v>
      </c>
      <c r="H110">
        <v>6</v>
      </c>
      <c r="I110">
        <v>6500</v>
      </c>
      <c r="J110">
        <v>0.15</v>
      </c>
      <c r="K110">
        <v>33150</v>
      </c>
      <c r="L110">
        <v>6546.07</v>
      </c>
      <c r="M110" t="s">
        <v>28</v>
      </c>
      <c r="N110" t="s">
        <v>21</v>
      </c>
    </row>
    <row r="111" spans="1:14" x14ac:dyDescent="0.3">
      <c r="A111" t="s">
        <v>239</v>
      </c>
      <c r="B111" s="2">
        <v>45801</v>
      </c>
      <c r="C111" t="s">
        <v>134</v>
      </c>
      <c r="D111" t="s">
        <v>31</v>
      </c>
      <c r="E111" t="s">
        <v>32</v>
      </c>
      <c r="F111" t="s">
        <v>90</v>
      </c>
      <c r="G111" t="s">
        <v>19</v>
      </c>
      <c r="H111">
        <v>6</v>
      </c>
      <c r="I111">
        <v>55000</v>
      </c>
      <c r="J111">
        <v>0.1</v>
      </c>
      <c r="K111">
        <v>297000</v>
      </c>
      <c r="L111">
        <v>36665.82</v>
      </c>
      <c r="M111" t="s">
        <v>60</v>
      </c>
      <c r="N111" t="s">
        <v>37</v>
      </c>
    </row>
    <row r="112" spans="1:14" x14ac:dyDescent="0.3">
      <c r="A112" t="s">
        <v>240</v>
      </c>
      <c r="B112" s="2">
        <v>45988</v>
      </c>
      <c r="C112" t="s">
        <v>201</v>
      </c>
      <c r="D112" t="s">
        <v>16</v>
      </c>
      <c r="E112" t="s">
        <v>76</v>
      </c>
      <c r="F112" t="s">
        <v>36</v>
      </c>
      <c r="G112" t="s">
        <v>19</v>
      </c>
      <c r="H112">
        <v>1</v>
      </c>
      <c r="I112">
        <v>12500</v>
      </c>
      <c r="J112">
        <v>0.15</v>
      </c>
      <c r="K112">
        <v>10625</v>
      </c>
      <c r="L112">
        <v>1436.25</v>
      </c>
      <c r="M112" t="s">
        <v>28</v>
      </c>
      <c r="N112" t="s">
        <v>21</v>
      </c>
    </row>
    <row r="113" spans="1:14" x14ac:dyDescent="0.3">
      <c r="A113" t="s">
        <v>241</v>
      </c>
      <c r="B113" s="2">
        <v>45683</v>
      </c>
      <c r="C113" t="s">
        <v>242</v>
      </c>
      <c r="D113" t="s">
        <v>24</v>
      </c>
      <c r="E113" t="s">
        <v>76</v>
      </c>
      <c r="F113" t="s">
        <v>36</v>
      </c>
      <c r="G113" t="s">
        <v>19</v>
      </c>
      <c r="H113">
        <v>2</v>
      </c>
      <c r="I113">
        <v>12500</v>
      </c>
      <c r="J113">
        <v>0.05</v>
      </c>
      <c r="K113">
        <v>23750</v>
      </c>
      <c r="L113">
        <v>5638.15</v>
      </c>
      <c r="M113" t="s">
        <v>48</v>
      </c>
      <c r="N113" t="s">
        <v>21</v>
      </c>
    </row>
    <row r="114" spans="1:14" x14ac:dyDescent="0.3">
      <c r="A114" t="s">
        <v>243</v>
      </c>
      <c r="B114" s="2">
        <v>45733</v>
      </c>
      <c r="C114" t="s">
        <v>64</v>
      </c>
      <c r="D114" t="s">
        <v>31</v>
      </c>
      <c r="E114" t="s">
        <v>52</v>
      </c>
      <c r="F114" t="s">
        <v>71</v>
      </c>
      <c r="G114" t="s">
        <v>19</v>
      </c>
      <c r="H114">
        <v>1</v>
      </c>
      <c r="I114">
        <v>4500</v>
      </c>
      <c r="J114">
        <v>0.1</v>
      </c>
      <c r="K114">
        <v>4050</v>
      </c>
      <c r="L114">
        <v>1019.31</v>
      </c>
      <c r="M114" t="s">
        <v>20</v>
      </c>
      <c r="N114" t="s">
        <v>49</v>
      </c>
    </row>
    <row r="115" spans="1:14" x14ac:dyDescent="0.3">
      <c r="A115" t="s">
        <v>244</v>
      </c>
      <c r="B115" s="2">
        <v>45671</v>
      </c>
      <c r="C115" t="s">
        <v>207</v>
      </c>
      <c r="D115" t="s">
        <v>31</v>
      </c>
      <c r="E115" t="s">
        <v>114</v>
      </c>
      <c r="F115" t="s">
        <v>33</v>
      </c>
      <c r="G115" t="s">
        <v>27</v>
      </c>
      <c r="H115">
        <v>1</v>
      </c>
      <c r="I115">
        <v>1800</v>
      </c>
      <c r="J115">
        <v>0.1</v>
      </c>
      <c r="K115">
        <v>1620</v>
      </c>
      <c r="L115">
        <v>385.56</v>
      </c>
      <c r="M115" t="s">
        <v>48</v>
      </c>
      <c r="N115" t="s">
        <v>21</v>
      </c>
    </row>
    <row r="116" spans="1:14" x14ac:dyDescent="0.3">
      <c r="A116" t="s">
        <v>245</v>
      </c>
      <c r="B116" s="2">
        <v>45684</v>
      </c>
      <c r="C116" t="s">
        <v>246</v>
      </c>
      <c r="D116" t="s">
        <v>59</v>
      </c>
      <c r="E116" t="s">
        <v>45</v>
      </c>
      <c r="F116" t="s">
        <v>33</v>
      </c>
      <c r="G116" t="s">
        <v>27</v>
      </c>
      <c r="H116">
        <v>6</v>
      </c>
      <c r="I116">
        <v>1800</v>
      </c>
      <c r="J116">
        <v>0.15</v>
      </c>
      <c r="K116">
        <v>9180</v>
      </c>
      <c r="L116">
        <v>1700.29</v>
      </c>
      <c r="M116" t="s">
        <v>28</v>
      </c>
      <c r="N116" t="s">
        <v>37</v>
      </c>
    </row>
    <row r="117" spans="1:14" x14ac:dyDescent="0.3">
      <c r="A117" t="s">
        <v>247</v>
      </c>
      <c r="B117" s="2">
        <v>45713</v>
      </c>
      <c r="C117" t="s">
        <v>248</v>
      </c>
      <c r="D117" t="s">
        <v>31</v>
      </c>
      <c r="E117" t="s">
        <v>25</v>
      </c>
      <c r="F117" t="s">
        <v>65</v>
      </c>
      <c r="G117" t="s">
        <v>47</v>
      </c>
      <c r="H117">
        <v>5</v>
      </c>
      <c r="I117">
        <v>14500</v>
      </c>
      <c r="J117">
        <v>0.05</v>
      </c>
      <c r="K117">
        <v>68875</v>
      </c>
      <c r="L117">
        <v>18533.099999999999</v>
      </c>
      <c r="M117" t="s">
        <v>20</v>
      </c>
      <c r="N117" t="s">
        <v>21</v>
      </c>
    </row>
    <row r="118" spans="1:14" x14ac:dyDescent="0.3">
      <c r="A118" t="s">
        <v>249</v>
      </c>
      <c r="B118" s="2">
        <v>45903</v>
      </c>
      <c r="C118" t="s">
        <v>250</v>
      </c>
      <c r="D118" t="s">
        <v>16</v>
      </c>
      <c r="E118" t="s">
        <v>45</v>
      </c>
      <c r="F118" t="s">
        <v>46</v>
      </c>
      <c r="G118" t="s">
        <v>47</v>
      </c>
      <c r="H118">
        <v>4</v>
      </c>
      <c r="I118">
        <v>8500</v>
      </c>
      <c r="J118">
        <v>0</v>
      </c>
      <c r="K118">
        <v>34000</v>
      </c>
      <c r="L118">
        <v>6053.83</v>
      </c>
      <c r="M118" t="s">
        <v>28</v>
      </c>
      <c r="N118" t="s">
        <v>21</v>
      </c>
    </row>
    <row r="119" spans="1:14" x14ac:dyDescent="0.3">
      <c r="A119" t="s">
        <v>251</v>
      </c>
      <c r="B119" s="2">
        <v>45691</v>
      </c>
      <c r="C119" t="s">
        <v>252</v>
      </c>
      <c r="D119" t="s">
        <v>31</v>
      </c>
      <c r="E119" t="s">
        <v>25</v>
      </c>
      <c r="F119" t="s">
        <v>33</v>
      </c>
      <c r="G119" t="s">
        <v>27</v>
      </c>
      <c r="H119">
        <v>3</v>
      </c>
      <c r="I119">
        <v>1800</v>
      </c>
      <c r="J119">
        <v>0.1</v>
      </c>
      <c r="K119">
        <v>4860</v>
      </c>
      <c r="L119">
        <v>759.04</v>
      </c>
      <c r="M119" t="s">
        <v>28</v>
      </c>
      <c r="N119" t="s">
        <v>37</v>
      </c>
    </row>
    <row r="120" spans="1:14" x14ac:dyDescent="0.3">
      <c r="A120" t="s">
        <v>253</v>
      </c>
      <c r="B120" s="2">
        <v>45878</v>
      </c>
      <c r="C120" t="s">
        <v>254</v>
      </c>
      <c r="D120" t="s">
        <v>59</v>
      </c>
      <c r="E120" t="s">
        <v>25</v>
      </c>
      <c r="F120" t="s">
        <v>18</v>
      </c>
      <c r="G120" t="s">
        <v>19</v>
      </c>
      <c r="H120">
        <v>6</v>
      </c>
      <c r="I120">
        <v>15000</v>
      </c>
      <c r="J120">
        <v>0</v>
      </c>
      <c r="K120">
        <v>90000</v>
      </c>
      <c r="L120">
        <v>22550.27</v>
      </c>
      <c r="M120" t="s">
        <v>48</v>
      </c>
      <c r="N120" t="s">
        <v>21</v>
      </c>
    </row>
    <row r="121" spans="1:14" x14ac:dyDescent="0.3">
      <c r="A121" t="s">
        <v>255</v>
      </c>
      <c r="B121" s="2">
        <v>45831</v>
      </c>
      <c r="C121" t="s">
        <v>119</v>
      </c>
      <c r="D121" t="s">
        <v>31</v>
      </c>
      <c r="E121" t="s">
        <v>40</v>
      </c>
      <c r="F121" t="s">
        <v>65</v>
      </c>
      <c r="G121" t="s">
        <v>47</v>
      </c>
      <c r="H121">
        <v>4</v>
      </c>
      <c r="I121">
        <v>14500</v>
      </c>
      <c r="J121">
        <v>0.15</v>
      </c>
      <c r="K121">
        <v>49300</v>
      </c>
      <c r="L121">
        <v>11137.98</v>
      </c>
      <c r="M121" t="s">
        <v>60</v>
      </c>
      <c r="N121" t="s">
        <v>21</v>
      </c>
    </row>
    <row r="122" spans="1:14" x14ac:dyDescent="0.3">
      <c r="B122" s="3" t="s">
        <v>256</v>
      </c>
      <c r="C122" t="s">
        <v>258</v>
      </c>
    </row>
    <row r="123" spans="1:14" x14ac:dyDescent="0.3">
      <c r="B123" s="4" t="s">
        <v>41</v>
      </c>
      <c r="C123">
        <v>450125</v>
      </c>
    </row>
    <row r="124" spans="1:14" x14ac:dyDescent="0.3">
      <c r="B124" s="4" t="s">
        <v>105</v>
      </c>
      <c r="C124">
        <v>70000</v>
      </c>
    </row>
    <row r="125" spans="1:14" x14ac:dyDescent="0.3">
      <c r="B125" s="4" t="s">
        <v>33</v>
      </c>
      <c r="C125">
        <v>83790</v>
      </c>
    </row>
    <row r="126" spans="1:14" x14ac:dyDescent="0.3">
      <c r="B126" s="4" t="s">
        <v>90</v>
      </c>
      <c r="C126">
        <v>1289750</v>
      </c>
      <c r="H126" s="3" t="s">
        <v>256</v>
      </c>
      <c r="I126" t="s">
        <v>258</v>
      </c>
      <c r="J126" s="3" t="s">
        <v>256</v>
      </c>
      <c r="K126" t="s">
        <v>258</v>
      </c>
    </row>
    <row r="127" spans="1:14" x14ac:dyDescent="0.3">
      <c r="B127" s="4" t="s">
        <v>18</v>
      </c>
      <c r="C127">
        <v>443250</v>
      </c>
      <c r="H127" s="4" t="s">
        <v>134</v>
      </c>
      <c r="I127">
        <v>317250</v>
      </c>
      <c r="J127" s="4" t="s">
        <v>27</v>
      </c>
      <c r="K127" s="7">
        <v>194470</v>
      </c>
    </row>
    <row r="128" spans="1:14" x14ac:dyDescent="0.3">
      <c r="B128" s="4" t="s">
        <v>46</v>
      </c>
      <c r="C128">
        <v>294100</v>
      </c>
      <c r="H128" s="4" t="s">
        <v>89</v>
      </c>
      <c r="I128">
        <v>245695</v>
      </c>
      <c r="J128" s="4" t="s">
        <v>19</v>
      </c>
      <c r="K128" s="7">
        <v>2747075</v>
      </c>
    </row>
    <row r="129" spans="2:11" x14ac:dyDescent="0.3">
      <c r="B129" s="4" t="s">
        <v>65</v>
      </c>
      <c r="C129">
        <v>281300</v>
      </c>
      <c r="H129" s="4" t="s">
        <v>158</v>
      </c>
      <c r="I129">
        <v>313270</v>
      </c>
      <c r="J129" s="4" t="s">
        <v>47</v>
      </c>
      <c r="K129" s="7">
        <v>575400</v>
      </c>
    </row>
    <row r="130" spans="2:11" x14ac:dyDescent="0.3">
      <c r="B130" s="4" t="s">
        <v>36</v>
      </c>
      <c r="C130">
        <v>183125</v>
      </c>
      <c r="H130" s="4" t="s">
        <v>67</v>
      </c>
      <c r="I130">
        <v>275125</v>
      </c>
      <c r="J130" s="4" t="s">
        <v>42</v>
      </c>
      <c r="K130" s="7">
        <v>684875</v>
      </c>
    </row>
    <row r="131" spans="2:11" x14ac:dyDescent="0.3">
      <c r="B131" s="4" t="s">
        <v>53</v>
      </c>
      <c r="C131">
        <v>234750</v>
      </c>
      <c r="H131" s="4" t="s">
        <v>201</v>
      </c>
      <c r="I131">
        <v>244375</v>
      </c>
      <c r="J131" s="4" t="s">
        <v>257</v>
      </c>
      <c r="K131" s="7">
        <v>4201820</v>
      </c>
    </row>
    <row r="132" spans="2:11" x14ac:dyDescent="0.3">
      <c r="B132" s="4" t="s">
        <v>115</v>
      </c>
      <c r="C132">
        <v>662200</v>
      </c>
      <c r="H132" s="4" t="s">
        <v>257</v>
      </c>
      <c r="I132">
        <v>1395715</v>
      </c>
    </row>
    <row r="133" spans="2:11" x14ac:dyDescent="0.3">
      <c r="B133" s="4" t="s">
        <v>71</v>
      </c>
      <c r="C133">
        <v>168750</v>
      </c>
    </row>
    <row r="134" spans="2:11" x14ac:dyDescent="0.3">
      <c r="B134" s="4" t="s">
        <v>26</v>
      </c>
      <c r="C134">
        <v>40680</v>
      </c>
    </row>
    <row r="135" spans="2:11" x14ac:dyDescent="0.3">
      <c r="B135" s="4" t="s">
        <v>257</v>
      </c>
      <c r="C135">
        <v>4201820</v>
      </c>
    </row>
    <row r="141" spans="2:11" x14ac:dyDescent="0.3">
      <c r="C141" s="3" t="s">
        <v>256</v>
      </c>
      <c r="D141" t="s">
        <v>258</v>
      </c>
      <c r="F141" s="3" t="s">
        <v>258</v>
      </c>
      <c r="G141" s="3" t="s">
        <v>272</v>
      </c>
    </row>
    <row r="142" spans="2:11" x14ac:dyDescent="0.3">
      <c r="C142" s="4" t="s">
        <v>31</v>
      </c>
      <c r="D142" s="7">
        <v>1038790</v>
      </c>
      <c r="F142" s="3" t="s">
        <v>256</v>
      </c>
      <c r="G142" t="s">
        <v>31</v>
      </c>
      <c r="H142" t="s">
        <v>16</v>
      </c>
      <c r="I142" t="s">
        <v>24</v>
      </c>
      <c r="J142" t="s">
        <v>59</v>
      </c>
      <c r="K142" t="s">
        <v>257</v>
      </c>
    </row>
    <row r="143" spans="2:11" x14ac:dyDescent="0.3">
      <c r="C143" s="4" t="s">
        <v>16</v>
      </c>
      <c r="D143" s="7">
        <v>883255</v>
      </c>
      <c r="F143" s="4" t="s">
        <v>27</v>
      </c>
      <c r="G143" s="7">
        <v>42740</v>
      </c>
      <c r="H143" s="7">
        <v>51930</v>
      </c>
      <c r="I143" s="7">
        <v>21500</v>
      </c>
      <c r="J143" s="7">
        <v>78300</v>
      </c>
      <c r="K143" s="7">
        <v>194470</v>
      </c>
    </row>
    <row r="144" spans="2:11" x14ac:dyDescent="0.3">
      <c r="C144" s="4" t="s">
        <v>24</v>
      </c>
      <c r="D144" s="7">
        <v>1267350</v>
      </c>
      <c r="F144" s="4" t="s">
        <v>19</v>
      </c>
      <c r="G144" s="7">
        <v>614225</v>
      </c>
      <c r="H144" s="7">
        <v>491400</v>
      </c>
      <c r="I144" s="7">
        <v>985550</v>
      </c>
      <c r="J144" s="7">
        <v>655900</v>
      </c>
      <c r="K144" s="7">
        <v>2747075</v>
      </c>
    </row>
    <row r="145" spans="2:11" x14ac:dyDescent="0.3">
      <c r="C145" s="4" t="s">
        <v>59</v>
      </c>
      <c r="D145" s="7">
        <v>1012425</v>
      </c>
      <c r="F145" s="4" t="s">
        <v>47</v>
      </c>
      <c r="G145" s="7">
        <v>323250</v>
      </c>
      <c r="H145" s="7">
        <v>92000</v>
      </c>
      <c r="I145" s="7">
        <v>24225</v>
      </c>
      <c r="J145" s="7">
        <v>135925</v>
      </c>
      <c r="K145" s="7">
        <v>575400</v>
      </c>
    </row>
    <row r="146" spans="2:11" x14ac:dyDescent="0.3">
      <c r="C146" s="4" t="s">
        <v>257</v>
      </c>
      <c r="D146" s="7">
        <v>4201820</v>
      </c>
      <c r="F146" s="4" t="s">
        <v>42</v>
      </c>
      <c r="G146" s="7">
        <v>58575</v>
      </c>
      <c r="H146" s="7">
        <v>247925</v>
      </c>
      <c r="I146" s="7">
        <v>236075</v>
      </c>
      <c r="J146" s="7">
        <v>142300</v>
      </c>
      <c r="K146" s="7">
        <v>684875</v>
      </c>
    </row>
    <row r="147" spans="2:11" x14ac:dyDescent="0.3">
      <c r="F147" s="4" t="s">
        <v>257</v>
      </c>
      <c r="G147" s="7">
        <v>1038790</v>
      </c>
      <c r="H147" s="7">
        <v>883255</v>
      </c>
      <c r="I147" s="7">
        <v>1267350</v>
      </c>
      <c r="J147" s="7">
        <v>1012425</v>
      </c>
      <c r="K147" s="7">
        <v>4201820</v>
      </c>
    </row>
    <row r="150" spans="2:11" x14ac:dyDescent="0.3">
      <c r="B150" s="3" t="s">
        <v>256</v>
      </c>
      <c r="C150" t="s">
        <v>273</v>
      </c>
    </row>
    <row r="151" spans="2:11" x14ac:dyDescent="0.3">
      <c r="B151" s="4" t="s">
        <v>41</v>
      </c>
      <c r="C151" s="7">
        <v>75</v>
      </c>
    </row>
    <row r="152" spans="2:11" x14ac:dyDescent="0.3">
      <c r="B152" s="4" t="s">
        <v>105</v>
      </c>
      <c r="C152" s="7">
        <v>22</v>
      </c>
    </row>
    <row r="153" spans="2:11" x14ac:dyDescent="0.3">
      <c r="B153" s="4" t="s">
        <v>33</v>
      </c>
      <c r="C153" s="7">
        <v>52</v>
      </c>
    </row>
    <row r="154" spans="2:11" x14ac:dyDescent="0.3">
      <c r="B154" s="4" t="s">
        <v>90</v>
      </c>
      <c r="C154" s="7">
        <v>26</v>
      </c>
    </row>
    <row r="155" spans="2:11" x14ac:dyDescent="0.3">
      <c r="B155" s="4" t="s">
        <v>18</v>
      </c>
      <c r="C155" s="7">
        <v>31</v>
      </c>
    </row>
    <row r="156" spans="2:11" x14ac:dyDescent="0.3">
      <c r="B156" s="4" t="s">
        <v>46</v>
      </c>
      <c r="C156" s="7">
        <v>37</v>
      </c>
    </row>
    <row r="157" spans="2:11" x14ac:dyDescent="0.3">
      <c r="B157" s="4" t="s">
        <v>65</v>
      </c>
      <c r="C157" s="7">
        <v>21</v>
      </c>
    </row>
    <row r="158" spans="2:11" x14ac:dyDescent="0.3">
      <c r="B158" s="4" t="s">
        <v>36</v>
      </c>
      <c r="C158" s="7">
        <v>16</v>
      </c>
    </row>
    <row r="159" spans="2:11" x14ac:dyDescent="0.3">
      <c r="B159" s="4" t="s">
        <v>53</v>
      </c>
      <c r="C159" s="7">
        <v>34</v>
      </c>
    </row>
    <row r="160" spans="2:11" x14ac:dyDescent="0.3">
      <c r="B160" s="4" t="s">
        <v>115</v>
      </c>
      <c r="C160" s="7">
        <v>26</v>
      </c>
    </row>
    <row r="161" spans="2:3" x14ac:dyDescent="0.3">
      <c r="B161" s="4" t="s">
        <v>71</v>
      </c>
      <c r="C161" s="7">
        <v>40</v>
      </c>
    </row>
    <row r="162" spans="2:3" x14ac:dyDescent="0.3">
      <c r="B162" s="4" t="s">
        <v>26</v>
      </c>
      <c r="C162" s="7">
        <v>37</v>
      </c>
    </row>
    <row r="163" spans="2:3" x14ac:dyDescent="0.3">
      <c r="B163" s="4" t="s">
        <v>257</v>
      </c>
      <c r="C163" s="7">
        <v>417</v>
      </c>
    </row>
  </sheetData>
  <pageMargins left="0.75" right="0.75" top="1" bottom="1" header="0.5" footer="0.5"/>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A177B-FAB5-44D8-979C-A25379279517}">
  <dimension ref="A1:L4"/>
  <sheetViews>
    <sheetView workbookViewId="0">
      <selection activeCell="E7" sqref="E7"/>
    </sheetView>
  </sheetViews>
  <sheetFormatPr defaultRowHeight="14.4" x14ac:dyDescent="0.3"/>
  <cols>
    <col min="1" max="1" width="14.77734375" bestFit="1" customWidth="1"/>
    <col min="9" max="9" width="15.109375" bestFit="1" customWidth="1"/>
    <col min="11" max="11" width="11.77734375" bestFit="1" customWidth="1"/>
    <col min="12" max="12" width="10.21875" bestFit="1" customWidth="1"/>
  </cols>
  <sheetData>
    <row r="1" spans="1:12" ht="21" x14ac:dyDescent="0.4">
      <c r="A1" s="5" t="s">
        <v>271</v>
      </c>
      <c r="B1" s="5" t="s">
        <v>259</v>
      </c>
      <c r="C1" s="5" t="s">
        <v>260</v>
      </c>
      <c r="D1" s="5" t="s">
        <v>261</v>
      </c>
      <c r="I1" s="5" t="s">
        <v>271</v>
      </c>
      <c r="J1" s="5" t="s">
        <v>262</v>
      </c>
      <c r="K1" s="5" t="s">
        <v>263</v>
      </c>
      <c r="L1" s="5" t="s">
        <v>264</v>
      </c>
    </row>
    <row r="2" spans="1:12" x14ac:dyDescent="0.3">
      <c r="A2" s="6">
        <v>101</v>
      </c>
      <c r="B2" s="6">
        <v>25</v>
      </c>
      <c r="C2" s="6">
        <v>50</v>
      </c>
      <c r="D2" s="6">
        <v>50</v>
      </c>
      <c r="I2" s="6">
        <v>101</v>
      </c>
      <c r="J2" s="6" t="s">
        <v>265</v>
      </c>
      <c r="K2" s="6" t="s">
        <v>268</v>
      </c>
      <c r="L2" s="6">
        <v>93811</v>
      </c>
    </row>
    <row r="3" spans="1:12" x14ac:dyDescent="0.3">
      <c r="A3" s="6">
        <v>102</v>
      </c>
      <c r="B3" s="6">
        <v>30</v>
      </c>
      <c r="C3" s="6">
        <v>30</v>
      </c>
      <c r="D3" s="6">
        <v>45</v>
      </c>
      <c r="I3" s="6">
        <v>102</v>
      </c>
      <c r="J3" s="6" t="s">
        <v>266</v>
      </c>
      <c r="K3" s="6" t="s">
        <v>269</v>
      </c>
      <c r="L3" s="6">
        <v>73841</v>
      </c>
    </row>
    <row r="4" spans="1:12" x14ac:dyDescent="0.3">
      <c r="A4" s="6">
        <v>103</v>
      </c>
      <c r="B4" s="6">
        <v>40</v>
      </c>
      <c r="C4" s="6">
        <v>20</v>
      </c>
      <c r="D4" s="6">
        <v>35</v>
      </c>
      <c r="I4" s="6">
        <v>103</v>
      </c>
      <c r="J4" s="6" t="s">
        <v>267</v>
      </c>
      <c r="K4" s="6" t="s">
        <v>270</v>
      </c>
      <c r="L4" s="6">
        <v>85450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Hasini Vasala</cp:lastModifiedBy>
  <dcterms:created xsi:type="dcterms:W3CDTF">2026-09-17T06:17:04Z</dcterms:created>
  <dcterms:modified xsi:type="dcterms:W3CDTF">2026-10-05T18:28:14Z</dcterms:modified>
</cp:coreProperties>
</file>